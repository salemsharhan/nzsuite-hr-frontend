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tafa\Downloads\"/>
    </mc:Choice>
  </mc:AlternateContent>
  <xr:revisionPtr revIDLastSave="0" documentId="8_{B83A824C-69CE-49B0-BB22-E3519EA928F6}" xr6:coauthVersionLast="47" xr6:coauthVersionMax="47" xr10:uidLastSave="{00000000-0000-0000-0000-000000000000}"/>
  <bookViews>
    <workbookView xWindow="-103" yWindow="-103" windowWidth="22149" windowHeight="13200" tabRatio="545" firstSheet="10" activeTab="10" xr2:uid="{00000000-000D-0000-FFFF-FFFF00000000}"/>
  </bookViews>
  <sheets>
    <sheet name="العمليات" sheetId="24" state="hidden" r:id="rId1"/>
    <sheet name="DYLX" sheetId="28" state="hidden" r:id="rId2"/>
    <sheet name="BEC(1)" sheetId="34" state="hidden" r:id="rId3"/>
    <sheet name="BEC(2)" sheetId="35" state="hidden" r:id="rId4"/>
    <sheet name="BEC(3)" sheetId="36" state="hidden" r:id="rId5"/>
    <sheet name="BEC(4)" sheetId="33" state="hidden" r:id="rId6"/>
    <sheet name="BEC5" sheetId="31" state="hidden" r:id="rId7"/>
    <sheet name="BEC (6)" sheetId="37" state="hidden" r:id="rId8"/>
    <sheet name="BEC (7)" sheetId="38" state="hidden" r:id="rId9"/>
    <sheet name="BEC (1)" sheetId="39" state="hidden" r:id="rId10"/>
    <sheet name="BEC (1-2026)" sheetId="42" r:id="rId11"/>
    <sheet name="BEC (1-2025) (3)" sheetId="44" state="hidden" r:id="rId12"/>
    <sheet name="BEC (1-2025) (2)" sheetId="43" state="hidden" r:id="rId13"/>
    <sheet name="BEC (jan)" sheetId="41" state="hidden" r:id="rId14"/>
    <sheet name="BEC (9)" sheetId="40" state="hidden" r:id="rId15"/>
    <sheet name="Admin 1 (2)" sheetId="29" state="hidden" r:id="rId16"/>
  </sheets>
  <externalReferences>
    <externalReference r:id="rId17"/>
  </externalReferences>
  <definedNames>
    <definedName name="_xlnm._FilterDatabase" localSheetId="9" hidden="1">'BEC (1)'!$A$5:$U$61</definedName>
    <definedName name="_xlnm._FilterDatabase" localSheetId="12" hidden="1">'BEC (1-2025) (2)'!$A$5:$X$61</definedName>
    <definedName name="_xlnm._FilterDatabase" localSheetId="11" hidden="1">'BEC (1-2025) (3)'!$A$5:$Y$60</definedName>
    <definedName name="_xlnm._FilterDatabase" localSheetId="10" hidden="1">'BEC (1-2026)'!$A$5:$V$33</definedName>
    <definedName name="_xlnm._FilterDatabase" localSheetId="7" hidden="1">'BEC (6)'!$A$5:$X$64</definedName>
    <definedName name="_xlnm._FilterDatabase" localSheetId="8" hidden="1">'BEC (7)'!$A$5:$X$67</definedName>
    <definedName name="_xlnm._FilterDatabase" localSheetId="14" hidden="1">'BEC (9)'!$A$5:$X$68</definedName>
    <definedName name="_xlnm._FilterDatabase" localSheetId="13" hidden="1">'BEC (jan)'!$A$5:$X$61</definedName>
    <definedName name="_xlnm._FilterDatabase" localSheetId="2" hidden="1">'BEC(1)'!$A$5:$X$52</definedName>
    <definedName name="_xlnm._FilterDatabase" localSheetId="3" hidden="1">'BEC(2)'!$A$5:$X$52</definedName>
    <definedName name="_xlnm._FilterDatabase" localSheetId="4" hidden="1">'BEC(3)'!$A$5:$X$54</definedName>
    <definedName name="_xlnm._FilterDatabase" localSheetId="5" hidden="1">'BEC(4)'!$A$5:$X$59</definedName>
    <definedName name="_xlnm._FilterDatabase" localSheetId="6" hidden="1">'BEC5'!$A$5:$X$61</definedName>
    <definedName name="_xlnm._FilterDatabase" localSheetId="1" hidden="1">DYLX!$A$5:$W$64</definedName>
    <definedName name="_xlnm._FilterDatabase" localSheetId="0" hidden="1">العمليات!$B$4:$H$24</definedName>
    <definedName name="_xlnm.Print_Area" localSheetId="15">'Admin 1 (2)'!$A$1:$T$68</definedName>
    <definedName name="_xlnm.Print_Area" localSheetId="9">'BEC (1)'!$A$1:$U$62</definedName>
    <definedName name="_xlnm.Print_Area" localSheetId="12">'BEC (1-2025) (2)'!$A$1:$X$64</definedName>
    <definedName name="_xlnm.Print_Area" localSheetId="11">'BEC (1-2025) (3)'!$A$1:$Y$63</definedName>
    <definedName name="_xlnm.Print_Area" localSheetId="10">'BEC (1-2026)'!$A$1:$V$33</definedName>
    <definedName name="_xlnm.Print_Area" localSheetId="7">'BEC (6)'!$A$1:$X$65</definedName>
    <definedName name="_xlnm.Print_Area" localSheetId="8">'BEC (7)'!$A$1:$X$68</definedName>
    <definedName name="_xlnm.Print_Area" localSheetId="14">'BEC (9)'!$A$1:$X$69</definedName>
    <definedName name="_xlnm.Print_Area" localSheetId="13">'BEC (jan)'!$A$1:$X$62</definedName>
    <definedName name="_xlnm.Print_Area" localSheetId="2">'BEC(1)'!$A$1:$X$53</definedName>
    <definedName name="_xlnm.Print_Area" localSheetId="3">'BEC(2)'!$A$1:$X$53</definedName>
    <definedName name="_xlnm.Print_Area" localSheetId="4">'BEC(3)'!$A$1:$X$55</definedName>
    <definedName name="_xlnm.Print_Area" localSheetId="5">'BEC(4)'!$A$1:$X$60</definedName>
    <definedName name="_xlnm.Print_Area" localSheetId="6">'BEC5'!$A$1:$X$62</definedName>
    <definedName name="_xlnm.Print_Area" localSheetId="1">DYLX!$A$1:$W$64</definedName>
    <definedName name="_xlnm.Print_Area" localSheetId="0">العمليات!$A$1:$W$27</definedName>
    <definedName name="_xlnm.Print_Titles" localSheetId="9">'BEC (1)'!$1:$5</definedName>
    <definedName name="_xlnm.Print_Titles" localSheetId="12">'BEC (1-2025) (2)'!$1:$5</definedName>
    <definedName name="_xlnm.Print_Titles" localSheetId="11">'BEC (1-2025) (3)'!$1:$5</definedName>
    <definedName name="_xlnm.Print_Titles" localSheetId="10">'BEC (1-2026)'!$1:$5</definedName>
    <definedName name="_xlnm.Print_Titles" localSheetId="7">'BEC (6)'!$1:$5</definedName>
    <definedName name="_xlnm.Print_Titles" localSheetId="8">'BEC (7)'!$1:$5</definedName>
    <definedName name="_xlnm.Print_Titles" localSheetId="14">'BEC (9)'!$1:$5</definedName>
    <definedName name="_xlnm.Print_Titles" localSheetId="13">'BEC (jan)'!$1:$5</definedName>
    <definedName name="_xlnm.Print_Titles" localSheetId="2">'BEC(1)'!$1:$5</definedName>
    <definedName name="_xlnm.Print_Titles" localSheetId="3">'BEC(2)'!$1:$5</definedName>
    <definedName name="_xlnm.Print_Titles" localSheetId="4">'BEC(3)'!$1:$5</definedName>
    <definedName name="_xlnm.Print_Titles" localSheetId="5">'BEC(4)'!$1:$5</definedName>
    <definedName name="_xlnm.Print_Titles" localSheetId="6">'BEC5'!$1:$5</definedName>
    <definedName name="_xlnm.Print_Titles" localSheetId="1">DYLX!$1:$5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42" l="1"/>
  <c r="I25" i="42" l="1"/>
  <c r="H25" i="42"/>
  <c r="I26" i="42"/>
  <c r="H26" i="42"/>
  <c r="H27" i="42"/>
  <c r="I27" i="42"/>
  <c r="H28" i="42"/>
  <c r="I28" i="42"/>
  <c r="H29" i="42"/>
  <c r="I29" i="42"/>
  <c r="H30" i="42"/>
  <c r="I30" i="42"/>
  <c r="M25" i="42" l="1"/>
  <c r="R25" i="42" s="1"/>
  <c r="S25" i="42" s="1"/>
  <c r="U25" i="42" s="1"/>
  <c r="M27" i="42"/>
  <c r="R27" i="42" s="1"/>
  <c r="S27" i="42" s="1"/>
  <c r="M28" i="42"/>
  <c r="R28" i="42" s="1"/>
  <c r="S28" i="42" s="1"/>
  <c r="M30" i="42"/>
  <c r="R30" i="42" s="1"/>
  <c r="S30" i="42" s="1"/>
  <c r="M26" i="42"/>
  <c r="R26" i="42" s="1"/>
  <c r="S26" i="42" s="1"/>
  <c r="M29" i="42"/>
  <c r="R29" i="42" s="1"/>
  <c r="S29" i="42" s="1"/>
  <c r="I23" i="42"/>
  <c r="H23" i="42"/>
  <c r="H22" i="42"/>
  <c r="M23" i="42" l="1"/>
  <c r="R23" i="42" s="1"/>
  <c r="S23" i="42" s="1"/>
  <c r="M22" i="42"/>
  <c r="R22" i="42" s="1"/>
  <c r="S22" i="42" s="1"/>
  <c r="Q31" i="42" l="1"/>
  <c r="P31" i="42"/>
  <c r="O31" i="42"/>
  <c r="N31" i="42"/>
  <c r="L31" i="42"/>
  <c r="K31" i="42"/>
  <c r="J31" i="42"/>
  <c r="E31" i="42"/>
  <c r="I6" i="42"/>
  <c r="H6" i="42"/>
  <c r="M6" i="42" l="1"/>
  <c r="R6" i="42" l="1"/>
  <c r="S6" i="42" s="1"/>
  <c r="T61" i="44" l="1"/>
  <c r="S61" i="44"/>
  <c r="R61" i="44"/>
  <c r="Q61" i="44"/>
  <c r="O61" i="44"/>
  <c r="N61" i="44"/>
  <c r="M61" i="44"/>
  <c r="H61" i="44"/>
  <c r="K60" i="44"/>
  <c r="P60" i="44" s="1"/>
  <c r="U60" i="44" s="1"/>
  <c r="V60" i="44" s="1"/>
  <c r="X60" i="44" s="1"/>
  <c r="K59" i="44"/>
  <c r="P59" i="44" s="1"/>
  <c r="U59" i="44" s="1"/>
  <c r="V59" i="44" s="1"/>
  <c r="X59" i="44" s="1"/>
  <c r="K58" i="44"/>
  <c r="P58" i="44" s="1"/>
  <c r="U58" i="44" s="1"/>
  <c r="V58" i="44" s="1"/>
  <c r="X58" i="44" s="1"/>
  <c r="A58" i="44"/>
  <c r="A59" i="44" s="1"/>
  <c r="A60" i="44" s="1"/>
  <c r="P57" i="44"/>
  <c r="U57" i="44" s="1"/>
  <c r="X57" i="44" s="1"/>
  <c r="L57" i="44"/>
  <c r="K57" i="44"/>
  <c r="L56" i="44"/>
  <c r="P56" i="44" s="1"/>
  <c r="U56" i="44" s="1"/>
  <c r="X56" i="44" s="1"/>
  <c r="K56" i="44"/>
  <c r="L55" i="44"/>
  <c r="K55" i="44"/>
  <c r="P55" i="44" s="1"/>
  <c r="U55" i="44" s="1"/>
  <c r="V55" i="44" s="1"/>
  <c r="X55" i="44" s="1"/>
  <c r="P54" i="44"/>
  <c r="U54" i="44" s="1"/>
  <c r="X54" i="44" s="1"/>
  <c r="L54" i="44"/>
  <c r="K54" i="44"/>
  <c r="L53" i="44"/>
  <c r="K53" i="44"/>
  <c r="P53" i="44" s="1"/>
  <c r="U53" i="44" s="1"/>
  <c r="V53" i="44" s="1"/>
  <c r="X53" i="44" s="1"/>
  <c r="P52" i="44"/>
  <c r="U52" i="44" s="1"/>
  <c r="W52" i="44" s="1"/>
  <c r="X52" i="44" s="1"/>
  <c r="L52" i="44"/>
  <c r="K52" i="44"/>
  <c r="L51" i="44"/>
  <c r="K51" i="44"/>
  <c r="P51" i="44" s="1"/>
  <c r="U51" i="44" s="1"/>
  <c r="V51" i="44" s="1"/>
  <c r="X51" i="44" s="1"/>
  <c r="P50" i="44"/>
  <c r="U50" i="44" s="1"/>
  <c r="V50" i="44" s="1"/>
  <c r="X50" i="44" s="1"/>
  <c r="L50" i="44"/>
  <c r="K50" i="44"/>
  <c r="L49" i="44"/>
  <c r="K49" i="44"/>
  <c r="P49" i="44" s="1"/>
  <c r="U49" i="44" s="1"/>
  <c r="W49" i="44" s="1"/>
  <c r="X49" i="44" s="1"/>
  <c r="P48" i="44"/>
  <c r="U48" i="44" s="1"/>
  <c r="V48" i="44" s="1"/>
  <c r="X48" i="44" s="1"/>
  <c r="L48" i="44"/>
  <c r="K48" i="44"/>
  <c r="L47" i="44"/>
  <c r="K47" i="44"/>
  <c r="P47" i="44" s="1"/>
  <c r="U47" i="44" s="1"/>
  <c r="V47" i="44" s="1"/>
  <c r="X47" i="44" s="1"/>
  <c r="P46" i="44"/>
  <c r="U46" i="44" s="1"/>
  <c r="V46" i="44" s="1"/>
  <c r="X46" i="44" s="1"/>
  <c r="L46" i="44"/>
  <c r="K46" i="44"/>
  <c r="L45" i="44"/>
  <c r="K45" i="44"/>
  <c r="P45" i="44" s="1"/>
  <c r="U45" i="44" s="1"/>
  <c r="V45" i="44" s="1"/>
  <c r="X45" i="44" s="1"/>
  <c r="P44" i="44"/>
  <c r="U44" i="44" s="1"/>
  <c r="V44" i="44" s="1"/>
  <c r="X44" i="44" s="1"/>
  <c r="L44" i="44"/>
  <c r="K44" i="44"/>
  <c r="L43" i="44"/>
  <c r="K43" i="44"/>
  <c r="P43" i="44" s="1"/>
  <c r="U43" i="44" s="1"/>
  <c r="V43" i="44" s="1"/>
  <c r="X43" i="44" s="1"/>
  <c r="P42" i="44"/>
  <c r="U42" i="44" s="1"/>
  <c r="V42" i="44" s="1"/>
  <c r="X42" i="44" s="1"/>
  <c r="L42" i="44"/>
  <c r="K42" i="44"/>
  <c r="L41" i="44"/>
  <c r="K41" i="44"/>
  <c r="P41" i="44" s="1"/>
  <c r="U41" i="44" s="1"/>
  <c r="V41" i="44" s="1"/>
  <c r="X41" i="44" s="1"/>
  <c r="P40" i="44"/>
  <c r="U40" i="44" s="1"/>
  <c r="V40" i="44" s="1"/>
  <c r="X40" i="44" s="1"/>
  <c r="L40" i="44"/>
  <c r="K40" i="44"/>
  <c r="L39" i="44"/>
  <c r="K39" i="44"/>
  <c r="P39" i="44" s="1"/>
  <c r="U39" i="44" s="1"/>
  <c r="V39" i="44" s="1"/>
  <c r="X39" i="44" s="1"/>
  <c r="P38" i="44"/>
  <c r="U38" i="44" s="1"/>
  <c r="V38" i="44" s="1"/>
  <c r="X38" i="44" s="1"/>
  <c r="L38" i="44"/>
  <c r="K38" i="44"/>
  <c r="L37" i="44"/>
  <c r="K37" i="44"/>
  <c r="P37" i="44" s="1"/>
  <c r="U37" i="44" s="1"/>
  <c r="V37" i="44" s="1"/>
  <c r="X37" i="44" s="1"/>
  <c r="P36" i="44"/>
  <c r="U36" i="44" s="1"/>
  <c r="V36" i="44" s="1"/>
  <c r="X36" i="44" s="1"/>
  <c r="L36" i="44"/>
  <c r="K36" i="44"/>
  <c r="L35" i="44"/>
  <c r="K35" i="44"/>
  <c r="P35" i="44" s="1"/>
  <c r="U35" i="44" s="1"/>
  <c r="V35" i="44" s="1"/>
  <c r="X35" i="44" s="1"/>
  <c r="L34" i="44"/>
  <c r="K34" i="44"/>
  <c r="P34" i="44" s="1"/>
  <c r="U34" i="44" s="1"/>
  <c r="X34" i="44" s="1"/>
  <c r="P33" i="44"/>
  <c r="U33" i="44" s="1"/>
  <c r="X33" i="44" s="1"/>
  <c r="L33" i="44"/>
  <c r="K33" i="44"/>
  <c r="L32" i="44"/>
  <c r="K32" i="44"/>
  <c r="P32" i="44" s="1"/>
  <c r="U32" i="44" s="1"/>
  <c r="V32" i="44" s="1"/>
  <c r="X32" i="44" s="1"/>
  <c r="P31" i="44"/>
  <c r="U31" i="44" s="1"/>
  <c r="V31" i="44" s="1"/>
  <c r="X31" i="44" s="1"/>
  <c r="L31" i="44"/>
  <c r="K31" i="44"/>
  <c r="L30" i="44"/>
  <c r="K30" i="44"/>
  <c r="P30" i="44" s="1"/>
  <c r="U30" i="44" s="1"/>
  <c r="V30" i="44" s="1"/>
  <c r="X30" i="44" s="1"/>
  <c r="P29" i="44"/>
  <c r="U29" i="44" s="1"/>
  <c r="V29" i="44" s="1"/>
  <c r="X29" i="44" s="1"/>
  <c r="L29" i="44"/>
  <c r="K29" i="44"/>
  <c r="L28" i="44"/>
  <c r="K28" i="44"/>
  <c r="P28" i="44" s="1"/>
  <c r="U28" i="44" s="1"/>
  <c r="V28" i="44" s="1"/>
  <c r="X28" i="44" s="1"/>
  <c r="P27" i="44"/>
  <c r="U27" i="44" s="1"/>
  <c r="V27" i="44" s="1"/>
  <c r="X27" i="44" s="1"/>
  <c r="L27" i="44"/>
  <c r="K27" i="44"/>
  <c r="L26" i="44"/>
  <c r="K26" i="44"/>
  <c r="P26" i="44" s="1"/>
  <c r="U26" i="44" s="1"/>
  <c r="V26" i="44" s="1"/>
  <c r="X26" i="44" s="1"/>
  <c r="P25" i="44"/>
  <c r="U25" i="44" s="1"/>
  <c r="W25" i="44" s="1"/>
  <c r="X25" i="44" s="1"/>
  <c r="L25" i="44"/>
  <c r="K25" i="44"/>
  <c r="L24" i="44"/>
  <c r="K24" i="44"/>
  <c r="P24" i="44" s="1"/>
  <c r="U24" i="44" s="1"/>
  <c r="V24" i="44" s="1"/>
  <c r="X24" i="44" s="1"/>
  <c r="P23" i="44"/>
  <c r="U23" i="44" s="1"/>
  <c r="V23" i="44" s="1"/>
  <c r="X23" i="44" s="1"/>
  <c r="L23" i="44"/>
  <c r="K23" i="44"/>
  <c r="L22" i="44"/>
  <c r="K22" i="44"/>
  <c r="P22" i="44" s="1"/>
  <c r="U22" i="44" s="1"/>
  <c r="V22" i="44" s="1"/>
  <c r="X22" i="44" s="1"/>
  <c r="P21" i="44"/>
  <c r="U21" i="44" s="1"/>
  <c r="V21" i="44" s="1"/>
  <c r="X21" i="44" s="1"/>
  <c r="L21" i="44"/>
  <c r="K21" i="44"/>
  <c r="L20" i="44"/>
  <c r="K20" i="44"/>
  <c r="P20" i="44" s="1"/>
  <c r="U20" i="44" s="1"/>
  <c r="V20" i="44" s="1"/>
  <c r="X20" i="44" s="1"/>
  <c r="P19" i="44"/>
  <c r="U19" i="44" s="1"/>
  <c r="W19" i="44" s="1"/>
  <c r="L19" i="44"/>
  <c r="K19" i="44"/>
  <c r="L18" i="44"/>
  <c r="K18" i="44"/>
  <c r="P18" i="44" s="1"/>
  <c r="U18" i="44" s="1"/>
  <c r="V18" i="44" s="1"/>
  <c r="X18" i="44" s="1"/>
  <c r="P17" i="44"/>
  <c r="U17" i="44" s="1"/>
  <c r="V17" i="44" s="1"/>
  <c r="X17" i="44" s="1"/>
  <c r="L17" i="44"/>
  <c r="K17" i="44"/>
  <c r="L16" i="44"/>
  <c r="K16" i="44"/>
  <c r="P16" i="44" s="1"/>
  <c r="U16" i="44" s="1"/>
  <c r="V16" i="44" s="1"/>
  <c r="X16" i="44" s="1"/>
  <c r="P15" i="44"/>
  <c r="U15" i="44" s="1"/>
  <c r="V15" i="44" s="1"/>
  <c r="X15" i="44" s="1"/>
  <c r="L15" i="44"/>
  <c r="K15" i="44"/>
  <c r="L14" i="44"/>
  <c r="K14" i="44"/>
  <c r="P14" i="44" s="1"/>
  <c r="U14" i="44" s="1"/>
  <c r="V14" i="44" s="1"/>
  <c r="X14" i="44" s="1"/>
  <c r="P13" i="44"/>
  <c r="U13" i="44" s="1"/>
  <c r="V13" i="44" s="1"/>
  <c r="X13" i="44" s="1"/>
  <c r="L13" i="44"/>
  <c r="K13" i="44"/>
  <c r="L12" i="44"/>
  <c r="K12" i="44"/>
  <c r="P12" i="44" s="1"/>
  <c r="U12" i="44" s="1"/>
  <c r="V12" i="44" s="1"/>
  <c r="X12" i="44" s="1"/>
  <c r="P11" i="44"/>
  <c r="U11" i="44" s="1"/>
  <c r="V11" i="44" s="1"/>
  <c r="X11" i="44" s="1"/>
  <c r="L11" i="44"/>
  <c r="K11" i="44"/>
  <c r="L10" i="44"/>
  <c r="K10" i="44"/>
  <c r="P10" i="44" s="1"/>
  <c r="U10" i="44" s="1"/>
  <c r="V10" i="44" s="1"/>
  <c r="X10" i="44" s="1"/>
  <c r="P9" i="44"/>
  <c r="U9" i="44" s="1"/>
  <c r="V9" i="44" s="1"/>
  <c r="X9" i="44" s="1"/>
  <c r="L9" i="44"/>
  <c r="K9" i="44"/>
  <c r="L8" i="44"/>
  <c r="K8" i="44"/>
  <c r="P8" i="44" s="1"/>
  <c r="U8" i="44" s="1"/>
  <c r="V8" i="44" s="1"/>
  <c r="X8" i="44" s="1"/>
  <c r="P7" i="44"/>
  <c r="U7" i="44" s="1"/>
  <c r="V7" i="44" s="1"/>
  <c r="L7" i="44"/>
  <c r="K7" i="44"/>
  <c r="U6" i="44"/>
  <c r="X6" i="44" s="1"/>
  <c r="P6" i="44"/>
  <c r="L6" i="44"/>
  <c r="L61" i="44" s="1"/>
  <c r="K6" i="44"/>
  <c r="K61" i="44" s="1"/>
  <c r="H7" i="42"/>
  <c r="H8" i="42"/>
  <c r="H9" i="42"/>
  <c r="H10" i="42"/>
  <c r="H11" i="42"/>
  <c r="H12" i="42"/>
  <c r="H13" i="42"/>
  <c r="H14" i="42"/>
  <c r="H15" i="42"/>
  <c r="H16" i="42"/>
  <c r="H17" i="42"/>
  <c r="H18" i="42"/>
  <c r="H19" i="42"/>
  <c r="H20" i="42"/>
  <c r="H21" i="42"/>
  <c r="H24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4" i="42"/>
  <c r="T62" i="43"/>
  <c r="S62" i="43"/>
  <c r="R62" i="43"/>
  <c r="Q62" i="43"/>
  <c r="O62" i="43"/>
  <c r="N62" i="43"/>
  <c r="M62" i="43"/>
  <c r="H62" i="43"/>
  <c r="U61" i="43"/>
  <c r="V61" i="43" s="1"/>
  <c r="W61" i="43" s="1"/>
  <c r="P61" i="43"/>
  <c r="K61" i="43"/>
  <c r="K60" i="43"/>
  <c r="P60" i="43" s="1"/>
  <c r="U60" i="43" s="1"/>
  <c r="V60" i="43" s="1"/>
  <c r="W60" i="43" s="1"/>
  <c r="U59" i="43"/>
  <c r="V59" i="43" s="1"/>
  <c r="W59" i="43" s="1"/>
  <c r="P59" i="43"/>
  <c r="K59" i="43"/>
  <c r="K58" i="43"/>
  <c r="P58" i="43" s="1"/>
  <c r="U58" i="43" s="1"/>
  <c r="W58" i="43" s="1"/>
  <c r="K57" i="43"/>
  <c r="P57" i="43" s="1"/>
  <c r="U57" i="43" s="1"/>
  <c r="W57" i="43" s="1"/>
  <c r="U56" i="43"/>
  <c r="V56" i="43" s="1"/>
  <c r="W56" i="43" s="1"/>
  <c r="P56" i="43"/>
  <c r="K56" i="43"/>
  <c r="K55" i="43"/>
  <c r="P55" i="43" s="1"/>
  <c r="U55" i="43" s="1"/>
  <c r="W55" i="43" s="1"/>
  <c r="P54" i="43"/>
  <c r="U54" i="43" s="1"/>
  <c r="V54" i="43" s="1"/>
  <c r="W54" i="43" s="1"/>
  <c r="K54" i="43"/>
  <c r="K53" i="43"/>
  <c r="P53" i="43" s="1"/>
  <c r="U53" i="43" s="1"/>
  <c r="V53" i="43" s="1"/>
  <c r="W53" i="43" s="1"/>
  <c r="P52" i="43"/>
  <c r="U52" i="43" s="1"/>
  <c r="V52" i="43" s="1"/>
  <c r="W52" i="43" s="1"/>
  <c r="K52" i="43"/>
  <c r="K51" i="43"/>
  <c r="P51" i="43" s="1"/>
  <c r="U51" i="43" s="1"/>
  <c r="V51" i="43" s="1"/>
  <c r="W51" i="43" s="1"/>
  <c r="P50" i="43"/>
  <c r="U50" i="43" s="1"/>
  <c r="V50" i="43" s="1"/>
  <c r="W50" i="43" s="1"/>
  <c r="K50" i="43"/>
  <c r="K49" i="43"/>
  <c r="P49" i="43" s="1"/>
  <c r="U49" i="43" s="1"/>
  <c r="V49" i="43" s="1"/>
  <c r="W49" i="43" s="1"/>
  <c r="P48" i="43"/>
  <c r="U48" i="43" s="1"/>
  <c r="V48" i="43" s="1"/>
  <c r="W48" i="43" s="1"/>
  <c r="K48" i="43"/>
  <c r="K47" i="43"/>
  <c r="P47" i="43" s="1"/>
  <c r="U47" i="43" s="1"/>
  <c r="V47" i="43" s="1"/>
  <c r="W47" i="43" s="1"/>
  <c r="P46" i="43"/>
  <c r="U46" i="43" s="1"/>
  <c r="V46" i="43" s="1"/>
  <c r="W46" i="43" s="1"/>
  <c r="K46" i="43"/>
  <c r="K45" i="43"/>
  <c r="P45" i="43" s="1"/>
  <c r="U45" i="43" s="1"/>
  <c r="V45" i="43" s="1"/>
  <c r="W45" i="43" s="1"/>
  <c r="P44" i="43"/>
  <c r="U44" i="43" s="1"/>
  <c r="V44" i="43" s="1"/>
  <c r="W44" i="43" s="1"/>
  <c r="K44" i="43"/>
  <c r="K43" i="43"/>
  <c r="P43" i="43" s="1"/>
  <c r="U43" i="43" s="1"/>
  <c r="V43" i="43" s="1"/>
  <c r="W43" i="43" s="1"/>
  <c r="P42" i="43"/>
  <c r="U42" i="43" s="1"/>
  <c r="V42" i="43" s="1"/>
  <c r="W42" i="43" s="1"/>
  <c r="K42" i="43"/>
  <c r="K41" i="43"/>
  <c r="P41" i="43" s="1"/>
  <c r="U41" i="43" s="1"/>
  <c r="V41" i="43" s="1"/>
  <c r="W41" i="43" s="1"/>
  <c r="P40" i="43"/>
  <c r="U40" i="43" s="1"/>
  <c r="V40" i="43" s="1"/>
  <c r="W40" i="43" s="1"/>
  <c r="K40" i="43"/>
  <c r="K39" i="43"/>
  <c r="P39" i="43" s="1"/>
  <c r="U39" i="43" s="1"/>
  <c r="V39" i="43" s="1"/>
  <c r="W39" i="43" s="1"/>
  <c r="P38" i="43"/>
  <c r="U38" i="43" s="1"/>
  <c r="V38" i="43" s="1"/>
  <c r="W38" i="43" s="1"/>
  <c r="K38" i="43"/>
  <c r="K37" i="43"/>
  <c r="P37" i="43" s="1"/>
  <c r="U37" i="43" s="1"/>
  <c r="V37" i="43" s="1"/>
  <c r="W37" i="43" s="1"/>
  <c r="P36" i="43"/>
  <c r="U36" i="43" s="1"/>
  <c r="V36" i="43" s="1"/>
  <c r="W36" i="43" s="1"/>
  <c r="K36" i="43"/>
  <c r="U35" i="43"/>
  <c r="W35" i="43" s="1"/>
  <c r="P35" i="43"/>
  <c r="K35" i="43"/>
  <c r="K34" i="43"/>
  <c r="P34" i="43" s="1"/>
  <c r="U34" i="43" s="1"/>
  <c r="W34" i="43" s="1"/>
  <c r="P33" i="43"/>
  <c r="U33" i="43" s="1"/>
  <c r="V33" i="43" s="1"/>
  <c r="W33" i="43" s="1"/>
  <c r="K33" i="43"/>
  <c r="K32" i="43"/>
  <c r="P32" i="43" s="1"/>
  <c r="U32" i="43" s="1"/>
  <c r="V32" i="43" s="1"/>
  <c r="W32" i="43" s="1"/>
  <c r="P31" i="43"/>
  <c r="U31" i="43" s="1"/>
  <c r="V31" i="43" s="1"/>
  <c r="W31" i="43" s="1"/>
  <c r="K31" i="43"/>
  <c r="K30" i="43"/>
  <c r="P30" i="43" s="1"/>
  <c r="U30" i="43" s="1"/>
  <c r="V30" i="43" s="1"/>
  <c r="W30" i="43" s="1"/>
  <c r="P29" i="43"/>
  <c r="U29" i="43" s="1"/>
  <c r="V29" i="43" s="1"/>
  <c r="W29" i="43" s="1"/>
  <c r="K29" i="43"/>
  <c r="K28" i="43"/>
  <c r="P28" i="43" s="1"/>
  <c r="U28" i="43" s="1"/>
  <c r="V28" i="43" s="1"/>
  <c r="W28" i="43" s="1"/>
  <c r="P27" i="43"/>
  <c r="U27" i="43" s="1"/>
  <c r="V27" i="43" s="1"/>
  <c r="W27" i="43" s="1"/>
  <c r="K27" i="43"/>
  <c r="K26" i="43"/>
  <c r="P26" i="43" s="1"/>
  <c r="U26" i="43" s="1"/>
  <c r="V26" i="43" s="1"/>
  <c r="W26" i="43" s="1"/>
  <c r="P25" i="43"/>
  <c r="U25" i="43" s="1"/>
  <c r="V25" i="43" s="1"/>
  <c r="W25" i="43" s="1"/>
  <c r="K25" i="43"/>
  <c r="V24" i="43"/>
  <c r="W24" i="43" s="1"/>
  <c r="K24" i="43"/>
  <c r="P24" i="43" s="1"/>
  <c r="U24" i="43" s="1"/>
  <c r="P23" i="43"/>
  <c r="U23" i="43" s="1"/>
  <c r="V23" i="43" s="1"/>
  <c r="W23" i="43" s="1"/>
  <c r="K23" i="43"/>
  <c r="K22" i="43"/>
  <c r="P22" i="43" s="1"/>
  <c r="U22" i="43" s="1"/>
  <c r="V22" i="43" s="1"/>
  <c r="W22" i="43" s="1"/>
  <c r="P21" i="43"/>
  <c r="U21" i="43" s="1"/>
  <c r="V21" i="43" s="1"/>
  <c r="W21" i="43" s="1"/>
  <c r="K21" i="43"/>
  <c r="K20" i="43"/>
  <c r="P20" i="43" s="1"/>
  <c r="U20" i="43" s="1"/>
  <c r="V20" i="43" s="1"/>
  <c r="W20" i="43" s="1"/>
  <c r="P19" i="43"/>
  <c r="U19" i="43" s="1"/>
  <c r="V19" i="43" s="1"/>
  <c r="W19" i="43" s="1"/>
  <c r="K19" i="43"/>
  <c r="K18" i="43"/>
  <c r="P18" i="43" s="1"/>
  <c r="U18" i="43" s="1"/>
  <c r="V18" i="43" s="1"/>
  <c r="W18" i="43" s="1"/>
  <c r="P17" i="43"/>
  <c r="U17" i="43" s="1"/>
  <c r="V17" i="43" s="1"/>
  <c r="W17" i="43" s="1"/>
  <c r="K17" i="43"/>
  <c r="V16" i="43"/>
  <c r="W16" i="43" s="1"/>
  <c r="K16" i="43"/>
  <c r="P16" i="43" s="1"/>
  <c r="U16" i="43" s="1"/>
  <c r="P15" i="43"/>
  <c r="U15" i="43" s="1"/>
  <c r="V15" i="43" s="1"/>
  <c r="W15" i="43" s="1"/>
  <c r="K15" i="43"/>
  <c r="K14" i="43"/>
  <c r="P14" i="43" s="1"/>
  <c r="U14" i="43" s="1"/>
  <c r="V14" i="43" s="1"/>
  <c r="W14" i="43" s="1"/>
  <c r="P13" i="43"/>
  <c r="U13" i="43" s="1"/>
  <c r="V13" i="43" s="1"/>
  <c r="W13" i="43" s="1"/>
  <c r="K13" i="43"/>
  <c r="K12" i="43"/>
  <c r="P12" i="43" s="1"/>
  <c r="U12" i="43" s="1"/>
  <c r="V12" i="43" s="1"/>
  <c r="W12" i="43" s="1"/>
  <c r="A12" i="43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P11" i="43"/>
  <c r="U11" i="43" s="1"/>
  <c r="V11" i="43" s="1"/>
  <c r="W11" i="43" s="1"/>
  <c r="K11" i="43"/>
  <c r="K10" i="43"/>
  <c r="P10" i="43" s="1"/>
  <c r="U10" i="43" s="1"/>
  <c r="V10" i="43" s="1"/>
  <c r="W10" i="43" s="1"/>
  <c r="A10" i="43"/>
  <c r="A11" i="43" s="1"/>
  <c r="P9" i="43"/>
  <c r="U9" i="43" s="1"/>
  <c r="V9" i="43" s="1"/>
  <c r="W9" i="43" s="1"/>
  <c r="K9" i="43"/>
  <c r="A9" i="43"/>
  <c r="K8" i="43"/>
  <c r="P8" i="43" s="1"/>
  <c r="U8" i="43" s="1"/>
  <c r="V8" i="43" s="1"/>
  <c r="W8" i="43" s="1"/>
  <c r="K7" i="43"/>
  <c r="P7" i="43" s="1"/>
  <c r="U7" i="43" s="1"/>
  <c r="W7" i="43" s="1"/>
  <c r="L6" i="43"/>
  <c r="L62" i="43" s="1"/>
  <c r="K6" i="43"/>
  <c r="K62" i="43" s="1"/>
  <c r="X62" i="41"/>
  <c r="W62" i="41"/>
  <c r="S62" i="41"/>
  <c r="R62" i="41"/>
  <c r="Q62" i="41"/>
  <c r="P62" i="41"/>
  <c r="N62" i="41"/>
  <c r="M62" i="41"/>
  <c r="L62" i="41"/>
  <c r="J61" i="41"/>
  <c r="O61" i="41" s="1"/>
  <c r="T61" i="41" s="1"/>
  <c r="J60" i="41"/>
  <c r="O60" i="41" s="1"/>
  <c r="T60" i="41" s="1"/>
  <c r="J59" i="41"/>
  <c r="O59" i="41" s="1"/>
  <c r="T59" i="41" s="1"/>
  <c r="J58" i="41"/>
  <c r="O58" i="41" s="1"/>
  <c r="T58" i="41" s="1"/>
  <c r="J57" i="41"/>
  <c r="O57" i="41" s="1"/>
  <c r="T57" i="41" s="1"/>
  <c r="J56" i="41"/>
  <c r="O56" i="41" s="1"/>
  <c r="T56" i="41" s="1"/>
  <c r="J55" i="41"/>
  <c r="O55" i="41" s="1"/>
  <c r="T55" i="41" s="1"/>
  <c r="AA55" i="41" s="1"/>
  <c r="O54" i="41"/>
  <c r="T54" i="41" s="1"/>
  <c r="J54" i="41"/>
  <c r="O53" i="41"/>
  <c r="T53" i="41" s="1"/>
  <c r="AA53" i="41" s="1"/>
  <c r="J53" i="41"/>
  <c r="T52" i="41"/>
  <c r="O52" i="41"/>
  <c r="J52" i="41"/>
  <c r="T51" i="41"/>
  <c r="O51" i="41"/>
  <c r="J51" i="41"/>
  <c r="T50" i="41"/>
  <c r="O50" i="41"/>
  <c r="J50" i="41"/>
  <c r="O49" i="41"/>
  <c r="T49" i="41" s="1"/>
  <c r="J49" i="41"/>
  <c r="J48" i="41"/>
  <c r="O48" i="41" s="1"/>
  <c r="T48" i="41" s="1"/>
  <c r="AA48" i="41" s="1"/>
  <c r="AA47" i="41"/>
  <c r="J47" i="41"/>
  <c r="O47" i="41" s="1"/>
  <c r="T47" i="41" s="1"/>
  <c r="O46" i="41"/>
  <c r="T46" i="41" s="1"/>
  <c r="AA46" i="41" s="1"/>
  <c r="J46" i="41"/>
  <c r="O45" i="41"/>
  <c r="T45" i="41" s="1"/>
  <c r="AA45" i="41" s="1"/>
  <c r="J45" i="41"/>
  <c r="J44" i="41"/>
  <c r="O44" i="41" s="1"/>
  <c r="T44" i="41" s="1"/>
  <c r="AA44" i="41" s="1"/>
  <c r="J43" i="41"/>
  <c r="O43" i="41" s="1"/>
  <c r="T43" i="41" s="1"/>
  <c r="AA43" i="41" s="1"/>
  <c r="O42" i="41"/>
  <c r="T42" i="41" s="1"/>
  <c r="AA42" i="41" s="1"/>
  <c r="J42" i="41"/>
  <c r="O41" i="41"/>
  <c r="T41" i="41" s="1"/>
  <c r="AA41" i="41" s="1"/>
  <c r="J41" i="41"/>
  <c r="J40" i="41"/>
  <c r="O40" i="41" s="1"/>
  <c r="T40" i="41" s="1"/>
  <c r="AA40" i="41" s="1"/>
  <c r="J39" i="41"/>
  <c r="O39" i="41" s="1"/>
  <c r="T39" i="41" s="1"/>
  <c r="AA38" i="41"/>
  <c r="J38" i="41"/>
  <c r="O38" i="41" s="1"/>
  <c r="T38" i="41" s="1"/>
  <c r="O37" i="41"/>
  <c r="T37" i="41" s="1"/>
  <c r="AA37" i="41" s="1"/>
  <c r="J37" i="41"/>
  <c r="T36" i="41"/>
  <c r="AA36" i="41" s="1"/>
  <c r="O36" i="41"/>
  <c r="J36" i="41"/>
  <c r="AA35" i="41"/>
  <c r="T35" i="41"/>
  <c r="J35" i="41"/>
  <c r="O35" i="41" s="1"/>
  <c r="AA34" i="41"/>
  <c r="J34" i="41"/>
  <c r="O34" i="41" s="1"/>
  <c r="T34" i="41" s="1"/>
  <c r="O33" i="41"/>
  <c r="T33" i="41" s="1"/>
  <c r="AA33" i="41" s="1"/>
  <c r="J33" i="41"/>
  <c r="T32" i="41"/>
  <c r="AA32" i="41" s="1"/>
  <c r="O32" i="41"/>
  <c r="J32" i="41"/>
  <c r="AA31" i="41"/>
  <c r="T31" i="41"/>
  <c r="J31" i="41"/>
  <c r="O31" i="41" s="1"/>
  <c r="AA30" i="41"/>
  <c r="J30" i="41"/>
  <c r="O30" i="41" s="1"/>
  <c r="T30" i="41" s="1"/>
  <c r="O29" i="41"/>
  <c r="T29" i="41" s="1"/>
  <c r="AA29" i="41" s="1"/>
  <c r="J29" i="41"/>
  <c r="T28" i="41"/>
  <c r="AA28" i="41" s="1"/>
  <c r="O28" i="41"/>
  <c r="J28" i="41"/>
  <c r="J27" i="41"/>
  <c r="O27" i="41" s="1"/>
  <c r="T27" i="41" s="1"/>
  <c r="AA27" i="41" s="1"/>
  <c r="J26" i="41"/>
  <c r="O26" i="41" s="1"/>
  <c r="T26" i="41" s="1"/>
  <c r="AA26" i="41" s="1"/>
  <c r="J25" i="41"/>
  <c r="O25" i="41" s="1"/>
  <c r="T25" i="41" s="1"/>
  <c r="AA25" i="41" s="1"/>
  <c r="AA24" i="41"/>
  <c r="T24" i="41"/>
  <c r="O24" i="41"/>
  <c r="J24" i="41"/>
  <c r="AC23" i="41"/>
  <c r="O23" i="41"/>
  <c r="T23" i="41" s="1"/>
  <c r="AA23" i="41" s="1"/>
  <c r="J23" i="41"/>
  <c r="O22" i="41"/>
  <c r="T22" i="41" s="1"/>
  <c r="AA22" i="41" s="1"/>
  <c r="J22" i="41"/>
  <c r="O21" i="41"/>
  <c r="T21" i="41" s="1"/>
  <c r="AA21" i="41" s="1"/>
  <c r="J21" i="41"/>
  <c r="T20" i="41"/>
  <c r="AA20" i="41" s="1"/>
  <c r="J20" i="41"/>
  <c r="O20" i="41" s="1"/>
  <c r="O19" i="41"/>
  <c r="T19" i="41" s="1"/>
  <c r="AA19" i="41" s="1"/>
  <c r="J19" i="41"/>
  <c r="O18" i="41"/>
  <c r="T18" i="41" s="1"/>
  <c r="AA18" i="41" s="1"/>
  <c r="J18" i="41"/>
  <c r="O17" i="41"/>
  <c r="T17" i="41" s="1"/>
  <c r="AA17" i="41" s="1"/>
  <c r="J17" i="41"/>
  <c r="T16" i="41"/>
  <c r="AA16" i="41" s="1"/>
  <c r="J16" i="41"/>
  <c r="O16" i="41" s="1"/>
  <c r="O15" i="41"/>
  <c r="T15" i="41" s="1"/>
  <c r="AA15" i="41" s="1"/>
  <c r="J15" i="41"/>
  <c r="O14" i="41"/>
  <c r="T14" i="41" s="1"/>
  <c r="AA14" i="41" s="1"/>
  <c r="J14" i="41"/>
  <c r="O13" i="41"/>
  <c r="T13" i="41" s="1"/>
  <c r="AA13" i="41" s="1"/>
  <c r="J13" i="41"/>
  <c r="T12" i="41"/>
  <c r="AA12" i="41" s="1"/>
  <c r="J12" i="41"/>
  <c r="O12" i="41" s="1"/>
  <c r="O11" i="41"/>
  <c r="T11" i="41" s="1"/>
  <c r="AA11" i="41" s="1"/>
  <c r="J11" i="41"/>
  <c r="O10" i="41"/>
  <c r="T10" i="41" s="1"/>
  <c r="AA10" i="41" s="1"/>
  <c r="J10" i="41"/>
  <c r="O9" i="41"/>
  <c r="T9" i="41" s="1"/>
  <c r="AA9" i="41" s="1"/>
  <c r="J9" i="41"/>
  <c r="A9" i="4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T8" i="41"/>
  <c r="AA8" i="41" s="1"/>
  <c r="J8" i="41"/>
  <c r="O8" i="41" s="1"/>
  <c r="J7" i="41"/>
  <c r="O7" i="41" s="1"/>
  <c r="T7" i="41" s="1"/>
  <c r="AA7" i="41" s="1"/>
  <c r="J6" i="41"/>
  <c r="K6" i="41" s="1"/>
  <c r="K62" i="41" s="1"/>
  <c r="A9" i="39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J54" i="39"/>
  <c r="J52" i="39"/>
  <c r="O52" i="39" s="1"/>
  <c r="J51" i="39"/>
  <c r="O51" i="39" s="1"/>
  <c r="J39" i="39"/>
  <c r="O39" i="39" s="1"/>
  <c r="U61" i="40"/>
  <c r="U46" i="40"/>
  <c r="U40" i="40"/>
  <c r="U39" i="40"/>
  <c r="U8" i="40"/>
  <c r="J61" i="40"/>
  <c r="O61" i="40" s="1"/>
  <c r="T61" i="40" s="1"/>
  <c r="X69" i="40"/>
  <c r="W69" i="40"/>
  <c r="S69" i="40"/>
  <c r="R69" i="40"/>
  <c r="Q69" i="40"/>
  <c r="P69" i="40"/>
  <c r="N69" i="40"/>
  <c r="M69" i="40"/>
  <c r="L69" i="40"/>
  <c r="J68" i="40"/>
  <c r="O68" i="40" s="1"/>
  <c r="T68" i="40" s="1"/>
  <c r="J67" i="40"/>
  <c r="O67" i="40" s="1"/>
  <c r="T67" i="40" s="1"/>
  <c r="J66" i="40"/>
  <c r="O66" i="40" s="1"/>
  <c r="T66" i="40" s="1"/>
  <c r="J65" i="40"/>
  <c r="O65" i="40" s="1"/>
  <c r="T65" i="40" s="1"/>
  <c r="J64" i="40"/>
  <c r="O64" i="40" s="1"/>
  <c r="T64" i="40" s="1"/>
  <c r="J63" i="40"/>
  <c r="O63" i="40" s="1"/>
  <c r="T63" i="40" s="1"/>
  <c r="J62" i="40"/>
  <c r="O62" i="40" s="1"/>
  <c r="T62" i="40" s="1"/>
  <c r="AA62" i="40" s="1"/>
  <c r="J60" i="40"/>
  <c r="O60" i="40" s="1"/>
  <c r="T60" i="40" s="1"/>
  <c r="J59" i="40"/>
  <c r="O59" i="40" s="1"/>
  <c r="T59" i="40" s="1"/>
  <c r="J58" i="40"/>
  <c r="O58" i="40" s="1"/>
  <c r="T58" i="40" s="1"/>
  <c r="AA58" i="40" s="1"/>
  <c r="J57" i="40"/>
  <c r="O57" i="40" s="1"/>
  <c r="T57" i="40" s="1"/>
  <c r="AA57" i="40" s="1"/>
  <c r="J56" i="40"/>
  <c r="O56" i="40" s="1"/>
  <c r="T56" i="40" s="1"/>
  <c r="AA56" i="40" s="1"/>
  <c r="J55" i="40"/>
  <c r="O55" i="40" s="1"/>
  <c r="T55" i="40" s="1"/>
  <c r="AA55" i="40" s="1"/>
  <c r="J54" i="40"/>
  <c r="O54" i="40" s="1"/>
  <c r="T54" i="40" s="1"/>
  <c r="AA54" i="40" s="1"/>
  <c r="J53" i="40"/>
  <c r="O53" i="40" s="1"/>
  <c r="T53" i="40" s="1"/>
  <c r="AA53" i="40" s="1"/>
  <c r="J52" i="40"/>
  <c r="O52" i="40" s="1"/>
  <c r="T52" i="40" s="1"/>
  <c r="AA52" i="40" s="1"/>
  <c r="J51" i="40"/>
  <c r="O51" i="40" s="1"/>
  <c r="T51" i="40" s="1"/>
  <c r="AA51" i="40" s="1"/>
  <c r="J50" i="40"/>
  <c r="O50" i="40" s="1"/>
  <c r="T50" i="40" s="1"/>
  <c r="AA50" i="40" s="1"/>
  <c r="J49" i="40"/>
  <c r="O49" i="40" s="1"/>
  <c r="T49" i="40" s="1"/>
  <c r="AA49" i="40" s="1"/>
  <c r="J48" i="40"/>
  <c r="O48" i="40" s="1"/>
  <c r="T48" i="40" s="1"/>
  <c r="AA48" i="40" s="1"/>
  <c r="J47" i="40"/>
  <c r="O47" i="40" s="1"/>
  <c r="T47" i="40" s="1"/>
  <c r="AA47" i="40" s="1"/>
  <c r="J46" i="40"/>
  <c r="O46" i="40" s="1"/>
  <c r="T46" i="40" s="1"/>
  <c r="AA46" i="40" s="1"/>
  <c r="A46" i="40"/>
  <c r="A47" i="40" s="1"/>
  <c r="A48" i="40" s="1"/>
  <c r="A49" i="40" s="1"/>
  <c r="A50" i="40" s="1"/>
  <c r="A51" i="40" s="1"/>
  <c r="A52" i="40" s="1"/>
  <c r="A53" i="40" s="1"/>
  <c r="A54" i="40" s="1"/>
  <c r="A55" i="40" s="1"/>
  <c r="A56" i="40" s="1"/>
  <c r="A57" i="40" s="1"/>
  <c r="A58" i="40" s="1"/>
  <c r="A59" i="40" s="1"/>
  <c r="A60" i="40" s="1"/>
  <c r="A62" i="40" s="1"/>
  <c r="A63" i="40" s="1"/>
  <c r="J45" i="40"/>
  <c r="O45" i="40" s="1"/>
  <c r="T45" i="40" s="1"/>
  <c r="AA45" i="40" s="1"/>
  <c r="J44" i="40"/>
  <c r="O44" i="40" s="1"/>
  <c r="T44" i="40" s="1"/>
  <c r="AA44" i="40" s="1"/>
  <c r="J43" i="40"/>
  <c r="O43" i="40" s="1"/>
  <c r="T43" i="40" s="1"/>
  <c r="AA43" i="40" s="1"/>
  <c r="J42" i="40"/>
  <c r="O42" i="40" s="1"/>
  <c r="T42" i="40" s="1"/>
  <c r="AA42" i="40" s="1"/>
  <c r="J41" i="40"/>
  <c r="O41" i="40" s="1"/>
  <c r="T41" i="40" s="1"/>
  <c r="AA41" i="40" s="1"/>
  <c r="J40" i="40"/>
  <c r="O40" i="40" s="1"/>
  <c r="T40" i="40" s="1"/>
  <c r="AA40" i="40" s="1"/>
  <c r="J39" i="40"/>
  <c r="O39" i="40" s="1"/>
  <c r="T39" i="40" s="1"/>
  <c r="AA39" i="40" s="1"/>
  <c r="J38" i="40"/>
  <c r="O38" i="40" s="1"/>
  <c r="T38" i="40" s="1"/>
  <c r="AA38" i="40" s="1"/>
  <c r="J37" i="40"/>
  <c r="O37" i="40" s="1"/>
  <c r="T37" i="40" s="1"/>
  <c r="AA37" i="40" s="1"/>
  <c r="J36" i="40"/>
  <c r="O36" i="40" s="1"/>
  <c r="T36" i="40" s="1"/>
  <c r="AA36" i="40" s="1"/>
  <c r="A36" i="40"/>
  <c r="A37" i="40" s="1"/>
  <c r="A38" i="40" s="1"/>
  <c r="A39" i="40" s="1"/>
  <c r="A40" i="40" s="1"/>
  <c r="A41" i="40" s="1"/>
  <c r="A42" i="40" s="1"/>
  <c r="A43" i="40" s="1"/>
  <c r="A44" i="40" s="1"/>
  <c r="J35" i="40"/>
  <c r="O35" i="40" s="1"/>
  <c r="T35" i="40" s="1"/>
  <c r="AA35" i="40" s="1"/>
  <c r="J34" i="40"/>
  <c r="O34" i="40" s="1"/>
  <c r="T34" i="40" s="1"/>
  <c r="AA34" i="40" s="1"/>
  <c r="J33" i="40"/>
  <c r="O33" i="40" s="1"/>
  <c r="T33" i="40" s="1"/>
  <c r="AA33" i="40" s="1"/>
  <c r="J32" i="40"/>
  <c r="O32" i="40" s="1"/>
  <c r="T32" i="40" s="1"/>
  <c r="AA32" i="40" s="1"/>
  <c r="J31" i="40"/>
  <c r="O31" i="40" s="1"/>
  <c r="T31" i="40" s="1"/>
  <c r="AA31" i="40" s="1"/>
  <c r="J30" i="40"/>
  <c r="O30" i="40" s="1"/>
  <c r="T30" i="40" s="1"/>
  <c r="AA30" i="40" s="1"/>
  <c r="J29" i="40"/>
  <c r="O29" i="40" s="1"/>
  <c r="T29" i="40" s="1"/>
  <c r="AA29" i="40" s="1"/>
  <c r="J28" i="40"/>
  <c r="O28" i="40" s="1"/>
  <c r="T28" i="40" s="1"/>
  <c r="AA28" i="40" s="1"/>
  <c r="J27" i="40"/>
  <c r="O27" i="40" s="1"/>
  <c r="T27" i="40" s="1"/>
  <c r="AA27" i="40" s="1"/>
  <c r="AC26" i="40"/>
  <c r="J26" i="40"/>
  <c r="O26" i="40" s="1"/>
  <c r="T26" i="40" s="1"/>
  <c r="AA26" i="40" s="1"/>
  <c r="J25" i="40"/>
  <c r="O25" i="40" s="1"/>
  <c r="T25" i="40" s="1"/>
  <c r="A25" i="40"/>
  <c r="A26" i="40" s="1"/>
  <c r="A27" i="40" s="1"/>
  <c r="A28" i="40" s="1"/>
  <c r="A29" i="40" s="1"/>
  <c r="A30" i="40" s="1"/>
  <c r="A31" i="40" s="1"/>
  <c r="A32" i="40" s="1"/>
  <c r="A33" i="40" s="1"/>
  <c r="A34" i="40" s="1"/>
  <c r="J24" i="40"/>
  <c r="O24" i="40" s="1"/>
  <c r="T24" i="40" s="1"/>
  <c r="AA24" i="40" s="1"/>
  <c r="J23" i="40"/>
  <c r="O23" i="40" s="1"/>
  <c r="T23" i="40" s="1"/>
  <c r="AA23" i="40" s="1"/>
  <c r="J22" i="40"/>
  <c r="O22" i="40" s="1"/>
  <c r="T22" i="40" s="1"/>
  <c r="AA22" i="40" s="1"/>
  <c r="J21" i="40"/>
  <c r="O21" i="40" s="1"/>
  <c r="T21" i="40" s="1"/>
  <c r="AA21" i="40" s="1"/>
  <c r="J20" i="40"/>
  <c r="O20" i="40" s="1"/>
  <c r="T20" i="40" s="1"/>
  <c r="AA20" i="40" s="1"/>
  <c r="J19" i="40"/>
  <c r="O19" i="40" s="1"/>
  <c r="T19" i="40" s="1"/>
  <c r="AA19" i="40" s="1"/>
  <c r="J18" i="40"/>
  <c r="O18" i="40" s="1"/>
  <c r="T18" i="40" s="1"/>
  <c r="AA18" i="40" s="1"/>
  <c r="J17" i="40"/>
  <c r="O17" i="40" s="1"/>
  <c r="T17" i="40" s="1"/>
  <c r="AA17" i="40" s="1"/>
  <c r="J16" i="40"/>
  <c r="O16" i="40" s="1"/>
  <c r="T16" i="40" s="1"/>
  <c r="AA16" i="40" s="1"/>
  <c r="J15" i="40"/>
  <c r="O15" i="40" s="1"/>
  <c r="T15" i="40" s="1"/>
  <c r="AA15" i="40" s="1"/>
  <c r="A15" i="40"/>
  <c r="A16" i="40" s="1"/>
  <c r="A17" i="40" s="1"/>
  <c r="A18" i="40" s="1"/>
  <c r="A19" i="40" s="1"/>
  <c r="A20" i="40" s="1"/>
  <c r="A21" i="40" s="1"/>
  <c r="A22" i="40" s="1"/>
  <c r="A23" i="40" s="1"/>
  <c r="J14" i="40"/>
  <c r="O14" i="40" s="1"/>
  <c r="T14" i="40" s="1"/>
  <c r="AA14" i="40" s="1"/>
  <c r="J13" i="40"/>
  <c r="O13" i="40" s="1"/>
  <c r="T13" i="40" s="1"/>
  <c r="AA13" i="40" s="1"/>
  <c r="J12" i="40"/>
  <c r="O12" i="40" s="1"/>
  <c r="T12" i="40" s="1"/>
  <c r="AA12" i="40" s="1"/>
  <c r="J11" i="40"/>
  <c r="O11" i="40" s="1"/>
  <c r="T11" i="40" s="1"/>
  <c r="AA11" i="40" s="1"/>
  <c r="J10" i="40"/>
  <c r="O10" i="40" s="1"/>
  <c r="T10" i="40" s="1"/>
  <c r="AA10" i="40" s="1"/>
  <c r="J9" i="40"/>
  <c r="O9" i="40" s="1"/>
  <c r="T9" i="40" s="1"/>
  <c r="AA9" i="40" s="1"/>
  <c r="J8" i="40"/>
  <c r="O8" i="40" s="1"/>
  <c r="T8" i="40" s="1"/>
  <c r="AA8" i="40" s="1"/>
  <c r="J7" i="40"/>
  <c r="O7" i="40" s="1"/>
  <c r="T7" i="40" s="1"/>
  <c r="AA7" i="40" s="1"/>
  <c r="A7" i="40"/>
  <c r="A8" i="40" s="1"/>
  <c r="A9" i="40" s="1"/>
  <c r="A10" i="40" s="1"/>
  <c r="A11" i="40" s="1"/>
  <c r="A12" i="40" s="1"/>
  <c r="A13" i="40" s="1"/>
  <c r="J6" i="40"/>
  <c r="K6" i="40" s="1"/>
  <c r="S62" i="39"/>
  <c r="R62" i="39"/>
  <c r="Q62" i="39"/>
  <c r="P62" i="39"/>
  <c r="N62" i="39"/>
  <c r="M62" i="39"/>
  <c r="L62" i="39"/>
  <c r="J61" i="39"/>
  <c r="O61" i="39" s="1"/>
  <c r="J60" i="39"/>
  <c r="J59" i="39"/>
  <c r="O59" i="39" s="1"/>
  <c r="J58" i="39"/>
  <c r="J57" i="39"/>
  <c r="O57" i="39" s="1"/>
  <c r="J56" i="39"/>
  <c r="J55" i="39"/>
  <c r="O55" i="39" s="1"/>
  <c r="J50" i="39"/>
  <c r="O50" i="39" s="1"/>
  <c r="J49" i="39"/>
  <c r="O49" i="39" s="1"/>
  <c r="J48" i="39"/>
  <c r="J47" i="39"/>
  <c r="O47" i="39" s="1"/>
  <c r="J46" i="39"/>
  <c r="J45" i="39"/>
  <c r="O45" i="39" s="1"/>
  <c r="J44" i="39"/>
  <c r="J43" i="39"/>
  <c r="O43" i="39" s="1"/>
  <c r="J42" i="39"/>
  <c r="J41" i="39"/>
  <c r="O41" i="39" s="1"/>
  <c r="J40" i="39"/>
  <c r="J53" i="39"/>
  <c r="O53" i="39" s="1"/>
  <c r="J38" i="39"/>
  <c r="J37" i="39"/>
  <c r="O37" i="39" s="1"/>
  <c r="J36" i="39"/>
  <c r="O35" i="39"/>
  <c r="J34" i="39"/>
  <c r="J33" i="39"/>
  <c r="O33" i="39" s="1"/>
  <c r="J32" i="39"/>
  <c r="J31" i="39"/>
  <c r="O31" i="39" s="1"/>
  <c r="J30" i="39"/>
  <c r="J29" i="39"/>
  <c r="O29" i="39" s="1"/>
  <c r="J28" i="39"/>
  <c r="J27" i="39"/>
  <c r="O27" i="39" s="1"/>
  <c r="J26" i="39"/>
  <c r="J25" i="39"/>
  <c r="O25" i="39" s="1"/>
  <c r="J24" i="39"/>
  <c r="J23" i="39"/>
  <c r="O23" i="39" s="1"/>
  <c r="J22" i="39"/>
  <c r="J21" i="39"/>
  <c r="O21" i="39" s="1"/>
  <c r="J20" i="39"/>
  <c r="J19" i="39"/>
  <c r="O19" i="39" s="1"/>
  <c r="J18" i="39"/>
  <c r="J17" i="39"/>
  <c r="O17" i="39" s="1"/>
  <c r="J16" i="39"/>
  <c r="J15" i="39"/>
  <c r="O15" i="39" s="1"/>
  <c r="J14" i="39"/>
  <c r="J13" i="39"/>
  <c r="O13" i="39" s="1"/>
  <c r="J12" i="39"/>
  <c r="J11" i="39"/>
  <c r="O11" i="39" s="1"/>
  <c r="J10" i="39"/>
  <c r="J9" i="39"/>
  <c r="O9" i="39" s="1"/>
  <c r="O7" i="39"/>
  <c r="T7" i="39" s="1"/>
  <c r="J8" i="39"/>
  <c r="O8" i="39" s="1"/>
  <c r="J6" i="39"/>
  <c r="J23" i="38"/>
  <c r="X19" i="44" l="1"/>
  <c r="W61" i="44"/>
  <c r="X61" i="44"/>
  <c r="P61" i="44"/>
  <c r="X7" i="44"/>
  <c r="V61" i="44"/>
  <c r="U61" i="44"/>
  <c r="M11" i="42"/>
  <c r="R11" i="42" s="1"/>
  <c r="S11" i="42" s="1"/>
  <c r="M24" i="42"/>
  <c r="R24" i="42" s="1"/>
  <c r="S24" i="42" s="1"/>
  <c r="M20" i="42"/>
  <c r="R20" i="42" s="1"/>
  <c r="S20" i="42" s="1"/>
  <c r="M18" i="42"/>
  <c r="R18" i="42" s="1"/>
  <c r="S18" i="42" s="1"/>
  <c r="M17" i="42"/>
  <c r="R17" i="42" s="1"/>
  <c r="S17" i="42" s="1"/>
  <c r="M15" i="42"/>
  <c r="R15" i="42" s="1"/>
  <c r="S15" i="42" s="1"/>
  <c r="M14" i="42"/>
  <c r="R14" i="42" s="1"/>
  <c r="S14" i="42" s="1"/>
  <c r="M10" i="42"/>
  <c r="R10" i="42" s="1"/>
  <c r="S10" i="42" s="1"/>
  <c r="M7" i="42"/>
  <c r="R7" i="42" s="1"/>
  <c r="S7" i="42" s="1"/>
  <c r="M12" i="42"/>
  <c r="R12" i="42" s="1"/>
  <c r="S12" i="42" s="1"/>
  <c r="M9" i="42"/>
  <c r="M21" i="42"/>
  <c r="R21" i="42" s="1"/>
  <c r="S21" i="42" s="1"/>
  <c r="M8" i="42"/>
  <c r="R8" i="42" s="1"/>
  <c r="S8" i="42" s="1"/>
  <c r="M19" i="42"/>
  <c r="R19" i="42" s="1"/>
  <c r="S19" i="42" s="1"/>
  <c r="M16" i="42"/>
  <c r="R16" i="42" s="1"/>
  <c r="S16" i="42" s="1"/>
  <c r="R13" i="42"/>
  <c r="S13" i="42" s="1"/>
  <c r="I31" i="42"/>
  <c r="P6" i="43"/>
  <c r="H31" i="42"/>
  <c r="T9" i="39"/>
  <c r="O60" i="39"/>
  <c r="T60" i="39" s="1"/>
  <c r="O56" i="39"/>
  <c r="T56" i="39" s="1"/>
  <c r="O48" i="39"/>
  <c r="T48" i="39" s="1"/>
  <c r="O44" i="39"/>
  <c r="T44" i="39" s="1"/>
  <c r="O40" i="39"/>
  <c r="T40" i="39" s="1"/>
  <c r="O36" i="39"/>
  <c r="T36" i="39" s="1"/>
  <c r="O32" i="39"/>
  <c r="T32" i="39" s="1"/>
  <c r="O28" i="39"/>
  <c r="T28" i="39" s="1"/>
  <c r="O24" i="39"/>
  <c r="T24" i="39" s="1"/>
  <c r="O20" i="39"/>
  <c r="T20" i="39" s="1"/>
  <c r="O16" i="39"/>
  <c r="T16" i="39" s="1"/>
  <c r="O12" i="39"/>
  <c r="T12" i="39" s="1"/>
  <c r="T52" i="39"/>
  <c r="T8" i="39"/>
  <c r="T54" i="39"/>
  <c r="O58" i="39"/>
  <c r="T58" i="39" s="1"/>
  <c r="O54" i="39"/>
  <c r="O46" i="39"/>
  <c r="T46" i="39" s="1"/>
  <c r="O42" i="39"/>
  <c r="T42" i="39" s="1"/>
  <c r="O38" i="39"/>
  <c r="T38" i="39" s="1"/>
  <c r="O34" i="39"/>
  <c r="T34" i="39" s="1"/>
  <c r="O30" i="39"/>
  <c r="T30" i="39" s="1"/>
  <c r="O26" i="39"/>
  <c r="T26" i="39" s="1"/>
  <c r="O22" i="39"/>
  <c r="T22" i="39" s="1"/>
  <c r="O18" i="39"/>
  <c r="T18" i="39" s="1"/>
  <c r="O14" i="39"/>
  <c r="T14" i="39" s="1"/>
  <c r="O10" i="39"/>
  <c r="T10" i="39" s="1"/>
  <c r="J62" i="41"/>
  <c r="O6" i="41"/>
  <c r="T53" i="39"/>
  <c r="T13" i="39"/>
  <c r="T17" i="39"/>
  <c r="T21" i="39"/>
  <c r="T25" i="39"/>
  <c r="T29" i="39"/>
  <c r="T33" i="39"/>
  <c r="T37" i="39"/>
  <c r="T41" i="39"/>
  <c r="T45" i="39"/>
  <c r="T49" i="39"/>
  <c r="T57" i="39"/>
  <c r="T61" i="39"/>
  <c r="T11" i="39"/>
  <c r="T19" i="39"/>
  <c r="T23" i="39"/>
  <c r="T27" i="39"/>
  <c r="T31" i="39"/>
  <c r="T35" i="39"/>
  <c r="T43" i="39"/>
  <c r="T47" i="39"/>
  <c r="T55" i="39"/>
  <c r="T59" i="39"/>
  <c r="T39" i="39"/>
  <c r="T15" i="39"/>
  <c r="T51" i="39"/>
  <c r="O6" i="40"/>
  <c r="T6" i="40" s="1"/>
  <c r="K69" i="40"/>
  <c r="J69" i="40"/>
  <c r="J62" i="39"/>
  <c r="T50" i="39"/>
  <c r="K6" i="39"/>
  <c r="J60" i="38"/>
  <c r="O60" i="38" s="1"/>
  <c r="T60" i="38" s="1"/>
  <c r="J59" i="38"/>
  <c r="O59" i="38" s="1"/>
  <c r="T59" i="38" s="1"/>
  <c r="J25" i="38"/>
  <c r="O25" i="38" s="1"/>
  <c r="T25" i="38" s="1"/>
  <c r="X68" i="38"/>
  <c r="W68" i="38"/>
  <c r="S68" i="38"/>
  <c r="R68" i="38"/>
  <c r="Q68" i="38"/>
  <c r="P68" i="38"/>
  <c r="N68" i="38"/>
  <c r="M68" i="38"/>
  <c r="L68" i="38"/>
  <c r="J67" i="38"/>
  <c r="O67" i="38" s="1"/>
  <c r="T67" i="38" s="1"/>
  <c r="J66" i="38"/>
  <c r="O66" i="38" s="1"/>
  <c r="T66" i="38" s="1"/>
  <c r="J65" i="38"/>
  <c r="O65" i="38" s="1"/>
  <c r="T65" i="38" s="1"/>
  <c r="J64" i="38"/>
  <c r="O64" i="38" s="1"/>
  <c r="T64" i="38" s="1"/>
  <c r="J63" i="38"/>
  <c r="O63" i="38" s="1"/>
  <c r="T63" i="38" s="1"/>
  <c r="J62" i="38"/>
  <c r="O62" i="38" s="1"/>
  <c r="T62" i="38" s="1"/>
  <c r="J61" i="38"/>
  <c r="O61" i="38" s="1"/>
  <c r="T61" i="38" s="1"/>
  <c r="AA61" i="38" s="1"/>
  <c r="J58" i="38"/>
  <c r="O58" i="38" s="1"/>
  <c r="T58" i="38" s="1"/>
  <c r="AA58" i="38" s="1"/>
  <c r="J57" i="38"/>
  <c r="O57" i="38" s="1"/>
  <c r="T57" i="38" s="1"/>
  <c r="AA57" i="38" s="1"/>
  <c r="J56" i="38"/>
  <c r="O56" i="38" s="1"/>
  <c r="T56" i="38" s="1"/>
  <c r="AA56" i="38" s="1"/>
  <c r="J55" i="38"/>
  <c r="O55" i="38" s="1"/>
  <c r="T55" i="38" s="1"/>
  <c r="AA55" i="38" s="1"/>
  <c r="J54" i="38"/>
  <c r="O54" i="38" s="1"/>
  <c r="T54" i="38" s="1"/>
  <c r="AA54" i="38" s="1"/>
  <c r="J53" i="38"/>
  <c r="O53" i="38" s="1"/>
  <c r="T53" i="38" s="1"/>
  <c r="AA53" i="38" s="1"/>
  <c r="J52" i="38"/>
  <c r="O52" i="38" s="1"/>
  <c r="T52" i="38" s="1"/>
  <c r="AA52" i="38" s="1"/>
  <c r="J51" i="38"/>
  <c r="O51" i="38" s="1"/>
  <c r="T51" i="38" s="1"/>
  <c r="AA51" i="38" s="1"/>
  <c r="J50" i="38"/>
  <c r="O50" i="38" s="1"/>
  <c r="T50" i="38" s="1"/>
  <c r="AA50" i="38" s="1"/>
  <c r="J49" i="38"/>
  <c r="O49" i="38" s="1"/>
  <c r="T49" i="38" s="1"/>
  <c r="AA49" i="38" s="1"/>
  <c r="J48" i="38"/>
  <c r="O48" i="38" s="1"/>
  <c r="T48" i="38" s="1"/>
  <c r="AA48" i="38" s="1"/>
  <c r="J47" i="38"/>
  <c r="O47" i="38" s="1"/>
  <c r="T47" i="38" s="1"/>
  <c r="AA47" i="38" s="1"/>
  <c r="J46" i="38"/>
  <c r="O46" i="38" s="1"/>
  <c r="T46" i="38" s="1"/>
  <c r="AA46" i="38" s="1"/>
  <c r="J45" i="38"/>
  <c r="O45" i="38" s="1"/>
  <c r="T45" i="38" s="1"/>
  <c r="AA45" i="38" s="1"/>
  <c r="J44" i="38"/>
  <c r="O44" i="38" s="1"/>
  <c r="T44" i="38" s="1"/>
  <c r="AA44" i="38" s="1"/>
  <c r="J43" i="38"/>
  <c r="O43" i="38" s="1"/>
  <c r="T43" i="38" s="1"/>
  <c r="AA43" i="38" s="1"/>
  <c r="J42" i="38"/>
  <c r="O42" i="38" s="1"/>
  <c r="T42" i="38" s="1"/>
  <c r="AA42" i="38" s="1"/>
  <c r="J41" i="38"/>
  <c r="O41" i="38" s="1"/>
  <c r="T41" i="38" s="1"/>
  <c r="AA41" i="38" s="1"/>
  <c r="J40" i="38"/>
  <c r="O40" i="38" s="1"/>
  <c r="T40" i="38" s="1"/>
  <c r="AA40" i="38" s="1"/>
  <c r="J39" i="38"/>
  <c r="O39" i="38" s="1"/>
  <c r="T39" i="38" s="1"/>
  <c r="AA39" i="38" s="1"/>
  <c r="J38" i="38"/>
  <c r="O38" i="38" s="1"/>
  <c r="T38" i="38" s="1"/>
  <c r="AA38" i="38" s="1"/>
  <c r="J37" i="38"/>
  <c r="O37" i="38" s="1"/>
  <c r="T37" i="38" s="1"/>
  <c r="AA37" i="38" s="1"/>
  <c r="J36" i="38"/>
  <c r="O36" i="38" s="1"/>
  <c r="T36" i="38" s="1"/>
  <c r="AA36" i="38" s="1"/>
  <c r="J35" i="38"/>
  <c r="O35" i="38" s="1"/>
  <c r="T35" i="38" s="1"/>
  <c r="AA35" i="38" s="1"/>
  <c r="J34" i="38"/>
  <c r="O34" i="38" s="1"/>
  <c r="T34" i="38" s="1"/>
  <c r="AA34" i="38" s="1"/>
  <c r="J33" i="38"/>
  <c r="O33" i="38" s="1"/>
  <c r="T33" i="38" s="1"/>
  <c r="AA33" i="38" s="1"/>
  <c r="J32" i="38"/>
  <c r="O32" i="38" s="1"/>
  <c r="T32" i="38" s="1"/>
  <c r="AA32" i="38" s="1"/>
  <c r="J31" i="38"/>
  <c r="O31" i="38" s="1"/>
  <c r="T31" i="38" s="1"/>
  <c r="AA31" i="38" s="1"/>
  <c r="J30" i="38"/>
  <c r="O30" i="38" s="1"/>
  <c r="T30" i="38" s="1"/>
  <c r="AA30" i="38" s="1"/>
  <c r="J29" i="38"/>
  <c r="O29" i="38" s="1"/>
  <c r="T29" i="38" s="1"/>
  <c r="AA29" i="38" s="1"/>
  <c r="J28" i="38"/>
  <c r="O28" i="38" s="1"/>
  <c r="T28" i="38" s="1"/>
  <c r="AA28" i="38" s="1"/>
  <c r="J27" i="38"/>
  <c r="O27" i="38" s="1"/>
  <c r="T27" i="38" s="1"/>
  <c r="AA27" i="38" s="1"/>
  <c r="AC26" i="38"/>
  <c r="J26" i="38"/>
  <c r="O26" i="38" s="1"/>
  <c r="T26" i="38" s="1"/>
  <c r="AA26" i="38" s="1"/>
  <c r="J24" i="38"/>
  <c r="O24" i="38" s="1"/>
  <c r="T24" i="38" s="1"/>
  <c r="AA24" i="38" s="1"/>
  <c r="O23" i="38"/>
  <c r="J22" i="38"/>
  <c r="O22" i="38" s="1"/>
  <c r="T22" i="38" s="1"/>
  <c r="AA22" i="38" s="1"/>
  <c r="J21" i="38"/>
  <c r="O21" i="38" s="1"/>
  <c r="T21" i="38" s="1"/>
  <c r="AA21" i="38" s="1"/>
  <c r="J20" i="38"/>
  <c r="O20" i="38" s="1"/>
  <c r="T20" i="38" s="1"/>
  <c r="AA20" i="38" s="1"/>
  <c r="J19" i="38"/>
  <c r="O19" i="38" s="1"/>
  <c r="T19" i="38" s="1"/>
  <c r="AA19" i="38" s="1"/>
  <c r="J18" i="38"/>
  <c r="O18" i="38" s="1"/>
  <c r="T18" i="38" s="1"/>
  <c r="AA18" i="38" s="1"/>
  <c r="J17" i="38"/>
  <c r="O17" i="38" s="1"/>
  <c r="T17" i="38" s="1"/>
  <c r="AA17" i="38" s="1"/>
  <c r="J16" i="38"/>
  <c r="O16" i="38" s="1"/>
  <c r="T16" i="38" s="1"/>
  <c r="AA16" i="38" s="1"/>
  <c r="J15" i="38"/>
  <c r="O15" i="38" s="1"/>
  <c r="T15" i="38" s="1"/>
  <c r="AA15" i="38" s="1"/>
  <c r="J14" i="38"/>
  <c r="O14" i="38" s="1"/>
  <c r="T14" i="38" s="1"/>
  <c r="AA14" i="38" s="1"/>
  <c r="J13" i="38"/>
  <c r="O13" i="38" s="1"/>
  <c r="T13" i="38" s="1"/>
  <c r="AA13" i="38" s="1"/>
  <c r="J12" i="38"/>
  <c r="O12" i="38" s="1"/>
  <c r="T12" i="38" s="1"/>
  <c r="AA12" i="38" s="1"/>
  <c r="J11" i="38"/>
  <c r="O11" i="38" s="1"/>
  <c r="T11" i="38" s="1"/>
  <c r="AA11" i="38" s="1"/>
  <c r="J10" i="38"/>
  <c r="O10" i="38" s="1"/>
  <c r="T10" i="38" s="1"/>
  <c r="AA10" i="38" s="1"/>
  <c r="J9" i="38"/>
  <c r="O9" i="38" s="1"/>
  <c r="T9" i="38" s="1"/>
  <c r="AA9" i="38" s="1"/>
  <c r="J8" i="38"/>
  <c r="O8" i="38" s="1"/>
  <c r="T8" i="38" s="1"/>
  <c r="AA8" i="38" s="1"/>
  <c r="J7" i="38"/>
  <c r="O7" i="38" s="1"/>
  <c r="T7" i="38" s="1"/>
  <c r="AA7" i="38" s="1"/>
  <c r="J6" i="38"/>
  <c r="K6" i="38" s="1"/>
  <c r="K68" i="38" s="1"/>
  <c r="J56" i="37"/>
  <c r="O56" i="37" s="1"/>
  <c r="T56" i="37" s="1"/>
  <c r="AA56" i="37" s="1"/>
  <c r="J57" i="37"/>
  <c r="O57" i="37" s="1"/>
  <c r="T57" i="37" s="1"/>
  <c r="AA57" i="37" s="1"/>
  <c r="J45" i="37"/>
  <c r="O45" i="37" s="1"/>
  <c r="T45" i="37" s="1"/>
  <c r="AA45" i="37" s="1"/>
  <c r="J14" i="37"/>
  <c r="O14" i="37" s="1"/>
  <c r="T14" i="37" s="1"/>
  <c r="AA14" i="37" s="1"/>
  <c r="AC25" i="37"/>
  <c r="R9" i="42" l="1"/>
  <c r="M31" i="42"/>
  <c r="U6" i="43"/>
  <c r="P62" i="43"/>
  <c r="O62" i="41"/>
  <c r="T6" i="41"/>
  <c r="O69" i="40"/>
  <c r="AA6" i="40"/>
  <c r="T69" i="40"/>
  <c r="K62" i="39"/>
  <c r="O6" i="39"/>
  <c r="T23" i="38"/>
  <c r="AA23" i="38" s="1"/>
  <c r="J68" i="38"/>
  <c r="O6" i="38"/>
  <c r="X65" i="37"/>
  <c r="W65" i="37"/>
  <c r="S65" i="37"/>
  <c r="R65" i="37"/>
  <c r="P65" i="37"/>
  <c r="N65" i="37"/>
  <c r="M65" i="37"/>
  <c r="L65" i="37"/>
  <c r="K65" i="37"/>
  <c r="J64" i="37"/>
  <c r="O64" i="37" s="1"/>
  <c r="T64" i="37" s="1"/>
  <c r="J63" i="37"/>
  <c r="O63" i="37" s="1"/>
  <c r="T63" i="37" s="1"/>
  <c r="J62" i="37"/>
  <c r="O62" i="37" s="1"/>
  <c r="T62" i="37" s="1"/>
  <c r="J61" i="37"/>
  <c r="O61" i="37" s="1"/>
  <c r="T61" i="37" s="1"/>
  <c r="J60" i="37"/>
  <c r="O60" i="37" s="1"/>
  <c r="T60" i="37" s="1"/>
  <c r="J59" i="37"/>
  <c r="O59" i="37" s="1"/>
  <c r="T59" i="37" s="1"/>
  <c r="J58" i="37"/>
  <c r="O58" i="37" s="1"/>
  <c r="T58" i="37" s="1"/>
  <c r="J55" i="37"/>
  <c r="O55" i="37" s="1"/>
  <c r="T55" i="37" s="1"/>
  <c r="AA55" i="37" s="1"/>
  <c r="J54" i="37"/>
  <c r="O54" i="37" s="1"/>
  <c r="T54" i="37" s="1"/>
  <c r="AA54" i="37" s="1"/>
  <c r="J53" i="37"/>
  <c r="O53" i="37" s="1"/>
  <c r="T53" i="37" s="1"/>
  <c r="AA53" i="37" s="1"/>
  <c r="J52" i="37"/>
  <c r="O52" i="37" s="1"/>
  <c r="T52" i="37" s="1"/>
  <c r="AA52" i="37" s="1"/>
  <c r="J51" i="37"/>
  <c r="O51" i="37" s="1"/>
  <c r="T51" i="37" s="1"/>
  <c r="AA51" i="37" s="1"/>
  <c r="J50" i="37"/>
  <c r="O50" i="37" s="1"/>
  <c r="T50" i="37" s="1"/>
  <c r="AA50" i="37" s="1"/>
  <c r="J49" i="37"/>
  <c r="O49" i="37" s="1"/>
  <c r="T49" i="37" s="1"/>
  <c r="AA49" i="37" s="1"/>
  <c r="J48" i="37"/>
  <c r="O48" i="37" s="1"/>
  <c r="T48" i="37" s="1"/>
  <c r="AA48" i="37" s="1"/>
  <c r="J47" i="37"/>
  <c r="O47" i="37" s="1"/>
  <c r="T47" i="37" s="1"/>
  <c r="AA47" i="37" s="1"/>
  <c r="J46" i="37"/>
  <c r="O46" i="37" s="1"/>
  <c r="T46" i="37" s="1"/>
  <c r="AA46" i="37" s="1"/>
  <c r="J44" i="37"/>
  <c r="O44" i="37" s="1"/>
  <c r="T44" i="37" s="1"/>
  <c r="AA44" i="37" s="1"/>
  <c r="J43" i="37"/>
  <c r="O43" i="37" s="1"/>
  <c r="T43" i="37" s="1"/>
  <c r="J42" i="37"/>
  <c r="O42" i="37" s="1"/>
  <c r="T42" i="37" s="1"/>
  <c r="J41" i="37"/>
  <c r="O41" i="37" s="1"/>
  <c r="T41" i="37" s="1"/>
  <c r="J40" i="37"/>
  <c r="O40" i="37" s="1"/>
  <c r="T40" i="37" s="1"/>
  <c r="J39" i="37"/>
  <c r="O39" i="37" s="1"/>
  <c r="J38" i="37"/>
  <c r="O38" i="37" s="1"/>
  <c r="T38" i="37" s="1"/>
  <c r="J37" i="37"/>
  <c r="O37" i="37" s="1"/>
  <c r="T37" i="37" s="1"/>
  <c r="AA37" i="37" s="1"/>
  <c r="J36" i="37"/>
  <c r="O36" i="37" s="1"/>
  <c r="T36" i="37" s="1"/>
  <c r="AA36" i="37" s="1"/>
  <c r="J35" i="37"/>
  <c r="O35" i="37" s="1"/>
  <c r="T35" i="37" s="1"/>
  <c r="J34" i="37"/>
  <c r="O34" i="37" s="1"/>
  <c r="T34" i="37" s="1"/>
  <c r="AA34" i="37" s="1"/>
  <c r="J33" i="37"/>
  <c r="O33" i="37" s="1"/>
  <c r="T33" i="37" s="1"/>
  <c r="AA33" i="37" s="1"/>
  <c r="J32" i="37"/>
  <c r="O32" i="37" s="1"/>
  <c r="T32" i="37" s="1"/>
  <c r="AA32" i="37" s="1"/>
  <c r="J31" i="37"/>
  <c r="O31" i="37" s="1"/>
  <c r="T31" i="37" s="1"/>
  <c r="J30" i="37"/>
  <c r="O30" i="37" s="1"/>
  <c r="T30" i="37" s="1"/>
  <c r="AA30" i="37" s="1"/>
  <c r="J29" i="37"/>
  <c r="O29" i="37" s="1"/>
  <c r="T29" i="37" s="1"/>
  <c r="AA29" i="37" s="1"/>
  <c r="J28" i="37"/>
  <c r="O28" i="37" s="1"/>
  <c r="T28" i="37" s="1"/>
  <c r="AA28" i="37" s="1"/>
  <c r="J27" i="37"/>
  <c r="O27" i="37" s="1"/>
  <c r="T27" i="37" s="1"/>
  <c r="J26" i="37"/>
  <c r="O26" i="37" s="1"/>
  <c r="T26" i="37" s="1"/>
  <c r="J25" i="37"/>
  <c r="O25" i="37" s="1"/>
  <c r="T25" i="37" s="1"/>
  <c r="AA25" i="37" s="1"/>
  <c r="J24" i="37"/>
  <c r="O24" i="37" s="1"/>
  <c r="T24" i="37" s="1"/>
  <c r="AA24" i="37" s="1"/>
  <c r="J23" i="37"/>
  <c r="O23" i="37" s="1"/>
  <c r="T23" i="37" s="1"/>
  <c r="J22" i="37"/>
  <c r="O22" i="37" s="1"/>
  <c r="T22" i="37" s="1"/>
  <c r="AA22" i="37" s="1"/>
  <c r="J21" i="37"/>
  <c r="O21" i="37" s="1"/>
  <c r="T21" i="37" s="1"/>
  <c r="AA21" i="37" s="1"/>
  <c r="J20" i="37"/>
  <c r="O20" i="37" s="1"/>
  <c r="T20" i="37" s="1"/>
  <c r="J19" i="37"/>
  <c r="O19" i="37" s="1"/>
  <c r="T19" i="37" s="1"/>
  <c r="J18" i="37"/>
  <c r="O18" i="37" s="1"/>
  <c r="T18" i="37" s="1"/>
  <c r="J17" i="37"/>
  <c r="O17" i="37" s="1"/>
  <c r="T17" i="37" s="1"/>
  <c r="J16" i="37"/>
  <c r="O16" i="37" s="1"/>
  <c r="T16" i="37" s="1"/>
  <c r="J15" i="37"/>
  <c r="O15" i="37" s="1"/>
  <c r="T15" i="37" s="1"/>
  <c r="J13" i="37"/>
  <c r="O13" i="37" s="1"/>
  <c r="T13" i="37" s="1"/>
  <c r="J12" i="37"/>
  <c r="O12" i="37" s="1"/>
  <c r="T12" i="37" s="1"/>
  <c r="J11" i="37"/>
  <c r="O11" i="37" s="1"/>
  <c r="T11" i="37" s="1"/>
  <c r="AA11" i="37" s="1"/>
  <c r="J10" i="37"/>
  <c r="O10" i="37" s="1"/>
  <c r="T10" i="37" s="1"/>
  <c r="AA10" i="37" s="1"/>
  <c r="J9" i="37"/>
  <c r="O9" i="37" s="1"/>
  <c r="T9" i="37" s="1"/>
  <c r="AA9" i="37" s="1"/>
  <c r="J8" i="37"/>
  <c r="O8" i="37" s="1"/>
  <c r="T8" i="37" s="1"/>
  <c r="J7" i="37"/>
  <c r="O7" i="37" s="1"/>
  <c r="T7" i="37" s="1"/>
  <c r="AA7" i="37" s="1"/>
  <c r="J6" i="37"/>
  <c r="J47" i="36"/>
  <c r="O47" i="36" s="1"/>
  <c r="T47" i="36" s="1"/>
  <c r="J46" i="36"/>
  <c r="O46" i="36" s="1"/>
  <c r="T46" i="36" s="1"/>
  <c r="J45" i="36"/>
  <c r="O45" i="36" s="1"/>
  <c r="T45" i="36" s="1"/>
  <c r="J8" i="36"/>
  <c r="O8" i="36" s="1"/>
  <c r="T8" i="36" s="1"/>
  <c r="X55" i="36"/>
  <c r="W55" i="36"/>
  <c r="S55" i="36"/>
  <c r="R55" i="36"/>
  <c r="Q55" i="36"/>
  <c r="P55" i="36"/>
  <c r="N55" i="36"/>
  <c r="M55" i="36"/>
  <c r="L55" i="36"/>
  <c r="K55" i="36"/>
  <c r="J54" i="36"/>
  <c r="O54" i="36" s="1"/>
  <c r="T54" i="36" s="1"/>
  <c r="J53" i="36"/>
  <c r="O53" i="36" s="1"/>
  <c r="T53" i="36" s="1"/>
  <c r="J52" i="36"/>
  <c r="O52" i="36" s="1"/>
  <c r="T52" i="36" s="1"/>
  <c r="J51" i="36"/>
  <c r="O51" i="36" s="1"/>
  <c r="T51" i="36" s="1"/>
  <c r="J50" i="36"/>
  <c r="O50" i="36" s="1"/>
  <c r="T50" i="36" s="1"/>
  <c r="J49" i="36"/>
  <c r="O49" i="36" s="1"/>
  <c r="T49" i="36" s="1"/>
  <c r="J48" i="36"/>
  <c r="O48" i="36" s="1"/>
  <c r="T48" i="36" s="1"/>
  <c r="J44" i="36"/>
  <c r="O44" i="36" s="1"/>
  <c r="T44" i="36" s="1"/>
  <c r="J43" i="36"/>
  <c r="O43" i="36" s="1"/>
  <c r="T43" i="36" s="1"/>
  <c r="J42" i="36"/>
  <c r="O42" i="36" s="1"/>
  <c r="T42" i="36" s="1"/>
  <c r="J41" i="36"/>
  <c r="O41" i="36" s="1"/>
  <c r="T41" i="36" s="1"/>
  <c r="J40" i="36"/>
  <c r="O40" i="36" s="1"/>
  <c r="T40" i="36" s="1"/>
  <c r="J39" i="36"/>
  <c r="O39" i="36" s="1"/>
  <c r="T39" i="36" s="1"/>
  <c r="J38" i="36"/>
  <c r="O38" i="36" s="1"/>
  <c r="T38" i="36" s="1"/>
  <c r="J37" i="36"/>
  <c r="O37" i="36" s="1"/>
  <c r="T37" i="36" s="1"/>
  <c r="J36" i="36"/>
  <c r="O36" i="36" s="1"/>
  <c r="T36" i="36" s="1"/>
  <c r="J35" i="36"/>
  <c r="O35" i="36" s="1"/>
  <c r="T35" i="36" s="1"/>
  <c r="J34" i="36"/>
  <c r="O34" i="36" s="1"/>
  <c r="T34" i="36" s="1"/>
  <c r="J33" i="36"/>
  <c r="O33" i="36" s="1"/>
  <c r="T33" i="36" s="1"/>
  <c r="J32" i="36"/>
  <c r="O32" i="36" s="1"/>
  <c r="T32" i="36" s="1"/>
  <c r="J31" i="36"/>
  <c r="O31" i="36" s="1"/>
  <c r="T31" i="36" s="1"/>
  <c r="J30" i="36"/>
  <c r="O30" i="36" s="1"/>
  <c r="T30" i="36" s="1"/>
  <c r="J29" i="36"/>
  <c r="O29" i="36" s="1"/>
  <c r="T29" i="36" s="1"/>
  <c r="J28" i="36"/>
  <c r="O28" i="36" s="1"/>
  <c r="T28" i="36" s="1"/>
  <c r="J27" i="36"/>
  <c r="O27" i="36" s="1"/>
  <c r="T27" i="36" s="1"/>
  <c r="J26" i="36"/>
  <c r="O26" i="36" s="1"/>
  <c r="T26" i="36" s="1"/>
  <c r="J25" i="36"/>
  <c r="O25" i="36" s="1"/>
  <c r="T25" i="36" s="1"/>
  <c r="J24" i="36"/>
  <c r="O24" i="36" s="1"/>
  <c r="T24" i="36" s="1"/>
  <c r="J23" i="36"/>
  <c r="O23" i="36" s="1"/>
  <c r="T23" i="36" s="1"/>
  <c r="J22" i="36"/>
  <c r="O22" i="36" s="1"/>
  <c r="T22" i="36" s="1"/>
  <c r="J21" i="36"/>
  <c r="O21" i="36" s="1"/>
  <c r="T21" i="36" s="1"/>
  <c r="J20" i="36"/>
  <c r="O20" i="36" s="1"/>
  <c r="T20" i="36" s="1"/>
  <c r="J19" i="36"/>
  <c r="O19" i="36" s="1"/>
  <c r="T19" i="36" s="1"/>
  <c r="J18" i="36"/>
  <c r="O18" i="36" s="1"/>
  <c r="T18" i="36" s="1"/>
  <c r="J17" i="36"/>
  <c r="O17" i="36" s="1"/>
  <c r="T17" i="36" s="1"/>
  <c r="J16" i="36"/>
  <c r="O16" i="36" s="1"/>
  <c r="T16" i="36" s="1"/>
  <c r="J15" i="36"/>
  <c r="O15" i="36" s="1"/>
  <c r="T15" i="36" s="1"/>
  <c r="J14" i="36"/>
  <c r="O14" i="36" s="1"/>
  <c r="T14" i="36" s="1"/>
  <c r="J13" i="36"/>
  <c r="O13" i="36" s="1"/>
  <c r="T13" i="36" s="1"/>
  <c r="J12" i="36"/>
  <c r="O12" i="36" s="1"/>
  <c r="T12" i="36" s="1"/>
  <c r="J11" i="36"/>
  <c r="O11" i="36" s="1"/>
  <c r="T11" i="36" s="1"/>
  <c r="J10" i="36"/>
  <c r="O10" i="36" s="1"/>
  <c r="T10" i="36" s="1"/>
  <c r="J9" i="36"/>
  <c r="O9" i="36" s="1"/>
  <c r="T9" i="36" s="1"/>
  <c r="J7" i="36"/>
  <c r="O7" i="36" s="1"/>
  <c r="J6" i="36"/>
  <c r="O56" i="35"/>
  <c r="J45" i="35"/>
  <c r="O45" i="35" s="1"/>
  <c r="T45" i="35" s="1"/>
  <c r="X53" i="35"/>
  <c r="W53" i="35"/>
  <c r="S53" i="35"/>
  <c r="R53" i="35"/>
  <c r="Q53" i="35"/>
  <c r="P53" i="35"/>
  <c r="N53" i="35"/>
  <c r="M53" i="35"/>
  <c r="L53" i="35"/>
  <c r="K53" i="35"/>
  <c r="J52" i="35"/>
  <c r="O52" i="35" s="1"/>
  <c r="T52" i="35" s="1"/>
  <c r="J51" i="35"/>
  <c r="O51" i="35" s="1"/>
  <c r="T51" i="35" s="1"/>
  <c r="J50" i="35"/>
  <c r="O50" i="35" s="1"/>
  <c r="T50" i="35" s="1"/>
  <c r="J49" i="35"/>
  <c r="O49" i="35" s="1"/>
  <c r="T49" i="35" s="1"/>
  <c r="J48" i="35"/>
  <c r="O48" i="35" s="1"/>
  <c r="T48" i="35" s="1"/>
  <c r="J47" i="35"/>
  <c r="O47" i="35" s="1"/>
  <c r="T47" i="35" s="1"/>
  <c r="J46" i="35"/>
  <c r="O46" i="35" s="1"/>
  <c r="T46" i="35" s="1"/>
  <c r="J44" i="35"/>
  <c r="O44" i="35" s="1"/>
  <c r="T44" i="35" s="1"/>
  <c r="J43" i="35"/>
  <c r="O43" i="35" s="1"/>
  <c r="T43" i="35" s="1"/>
  <c r="J42" i="35"/>
  <c r="O42" i="35" s="1"/>
  <c r="T42" i="35" s="1"/>
  <c r="J41" i="35"/>
  <c r="O41" i="35" s="1"/>
  <c r="T41" i="35" s="1"/>
  <c r="J40" i="35"/>
  <c r="O40" i="35" s="1"/>
  <c r="T40" i="35" s="1"/>
  <c r="J39" i="35"/>
  <c r="O39" i="35" s="1"/>
  <c r="T39" i="35" s="1"/>
  <c r="J38" i="35"/>
  <c r="O38" i="35" s="1"/>
  <c r="T38" i="35" s="1"/>
  <c r="J37" i="35"/>
  <c r="O37" i="35" s="1"/>
  <c r="T37" i="35" s="1"/>
  <c r="J36" i="35"/>
  <c r="O36" i="35" s="1"/>
  <c r="T36" i="35" s="1"/>
  <c r="J35" i="35"/>
  <c r="O35" i="35" s="1"/>
  <c r="T35" i="35" s="1"/>
  <c r="J34" i="35"/>
  <c r="O34" i="35" s="1"/>
  <c r="T34" i="35" s="1"/>
  <c r="J33" i="35"/>
  <c r="O33" i="35" s="1"/>
  <c r="T33" i="35" s="1"/>
  <c r="J32" i="35"/>
  <c r="O32" i="35" s="1"/>
  <c r="T32" i="35" s="1"/>
  <c r="J31" i="35"/>
  <c r="O31" i="35" s="1"/>
  <c r="T31" i="35" s="1"/>
  <c r="J30" i="35"/>
  <c r="O30" i="35" s="1"/>
  <c r="T30" i="35" s="1"/>
  <c r="J29" i="35"/>
  <c r="O29" i="35" s="1"/>
  <c r="T29" i="35" s="1"/>
  <c r="J28" i="35"/>
  <c r="O28" i="35" s="1"/>
  <c r="T28" i="35" s="1"/>
  <c r="J27" i="35"/>
  <c r="O27" i="35" s="1"/>
  <c r="T27" i="35" s="1"/>
  <c r="J26" i="35"/>
  <c r="O26" i="35" s="1"/>
  <c r="T26" i="35" s="1"/>
  <c r="J25" i="35"/>
  <c r="O25" i="35" s="1"/>
  <c r="T25" i="35" s="1"/>
  <c r="J24" i="35"/>
  <c r="O24" i="35" s="1"/>
  <c r="T24" i="35" s="1"/>
  <c r="J23" i="35"/>
  <c r="O23" i="35" s="1"/>
  <c r="T23" i="35" s="1"/>
  <c r="J22" i="35"/>
  <c r="O22" i="35" s="1"/>
  <c r="T22" i="35" s="1"/>
  <c r="J21" i="35"/>
  <c r="O21" i="35" s="1"/>
  <c r="T21" i="35" s="1"/>
  <c r="J20" i="35"/>
  <c r="O20" i="35" s="1"/>
  <c r="T20" i="35" s="1"/>
  <c r="J19" i="35"/>
  <c r="O19" i="35" s="1"/>
  <c r="T19" i="35" s="1"/>
  <c r="J18" i="35"/>
  <c r="O18" i="35" s="1"/>
  <c r="T18" i="35" s="1"/>
  <c r="J17" i="35"/>
  <c r="O17" i="35" s="1"/>
  <c r="T17" i="35" s="1"/>
  <c r="J16" i="35"/>
  <c r="O16" i="35" s="1"/>
  <c r="T16" i="35" s="1"/>
  <c r="J15" i="35"/>
  <c r="O15" i="35" s="1"/>
  <c r="T15" i="35" s="1"/>
  <c r="J14" i="35"/>
  <c r="O14" i="35" s="1"/>
  <c r="T14" i="35" s="1"/>
  <c r="J13" i="35"/>
  <c r="O13" i="35" s="1"/>
  <c r="T13" i="35" s="1"/>
  <c r="J12" i="35"/>
  <c r="O12" i="35" s="1"/>
  <c r="T12" i="35" s="1"/>
  <c r="J11" i="35"/>
  <c r="O11" i="35" s="1"/>
  <c r="T11" i="35" s="1"/>
  <c r="J10" i="35"/>
  <c r="O10" i="35" s="1"/>
  <c r="T10" i="35" s="1"/>
  <c r="J9" i="35"/>
  <c r="O9" i="35" s="1"/>
  <c r="T9" i="35" s="1"/>
  <c r="J8" i="35"/>
  <c r="O8" i="35" s="1"/>
  <c r="T8" i="35" s="1"/>
  <c r="J7" i="35"/>
  <c r="O7" i="35" s="1"/>
  <c r="T7" i="35" s="1"/>
  <c r="J6" i="35"/>
  <c r="O6" i="35" s="1"/>
  <c r="J15" i="34"/>
  <c r="O15" i="34" s="1"/>
  <c r="T15" i="34" s="1"/>
  <c r="J43" i="34"/>
  <c r="O43" i="34" s="1"/>
  <c r="T43" i="34" s="1"/>
  <c r="J44" i="34"/>
  <c r="O44" i="34" s="1"/>
  <c r="T44" i="34" s="1"/>
  <c r="J21" i="34"/>
  <c r="O21" i="34" s="1"/>
  <c r="T21" i="34" s="1"/>
  <c r="X53" i="34"/>
  <c r="W53" i="34"/>
  <c r="S53" i="34"/>
  <c r="R53" i="34"/>
  <c r="Q53" i="34"/>
  <c r="P53" i="34"/>
  <c r="N53" i="34"/>
  <c r="M53" i="34"/>
  <c r="L53" i="34"/>
  <c r="K53" i="34"/>
  <c r="J52" i="34"/>
  <c r="O52" i="34" s="1"/>
  <c r="T52" i="34" s="1"/>
  <c r="J51" i="34"/>
  <c r="O51" i="34" s="1"/>
  <c r="T51" i="34" s="1"/>
  <c r="J50" i="34"/>
  <c r="O50" i="34" s="1"/>
  <c r="T50" i="34" s="1"/>
  <c r="J49" i="34"/>
  <c r="O49" i="34" s="1"/>
  <c r="T49" i="34" s="1"/>
  <c r="J48" i="34"/>
  <c r="O48" i="34" s="1"/>
  <c r="T48" i="34" s="1"/>
  <c r="J47" i="34"/>
  <c r="O47" i="34" s="1"/>
  <c r="T47" i="34" s="1"/>
  <c r="J46" i="34"/>
  <c r="O46" i="34" s="1"/>
  <c r="T46" i="34" s="1"/>
  <c r="J45" i="34"/>
  <c r="O45" i="34" s="1"/>
  <c r="T45" i="34" s="1"/>
  <c r="J42" i="34"/>
  <c r="O42" i="34" s="1"/>
  <c r="T42" i="34" s="1"/>
  <c r="J41" i="34"/>
  <c r="O41" i="34" s="1"/>
  <c r="T41" i="34" s="1"/>
  <c r="J40" i="34"/>
  <c r="O40" i="34" s="1"/>
  <c r="T40" i="34" s="1"/>
  <c r="J39" i="34"/>
  <c r="O39" i="34" s="1"/>
  <c r="T39" i="34" s="1"/>
  <c r="J38" i="34"/>
  <c r="O38" i="34" s="1"/>
  <c r="T38" i="34" s="1"/>
  <c r="J37" i="34"/>
  <c r="O37" i="34" s="1"/>
  <c r="T37" i="34" s="1"/>
  <c r="J36" i="34"/>
  <c r="O36" i="34" s="1"/>
  <c r="T36" i="34" s="1"/>
  <c r="J35" i="34"/>
  <c r="O35" i="34" s="1"/>
  <c r="T35" i="34" s="1"/>
  <c r="J34" i="34"/>
  <c r="O34" i="34" s="1"/>
  <c r="T34" i="34" s="1"/>
  <c r="J33" i="34"/>
  <c r="O33" i="34" s="1"/>
  <c r="T33" i="34" s="1"/>
  <c r="J32" i="34"/>
  <c r="O32" i="34" s="1"/>
  <c r="T32" i="34" s="1"/>
  <c r="J31" i="34"/>
  <c r="O31" i="34" s="1"/>
  <c r="T31" i="34" s="1"/>
  <c r="J30" i="34"/>
  <c r="O30" i="34" s="1"/>
  <c r="T30" i="34" s="1"/>
  <c r="J29" i="34"/>
  <c r="O29" i="34" s="1"/>
  <c r="T29" i="34" s="1"/>
  <c r="J28" i="34"/>
  <c r="O28" i="34" s="1"/>
  <c r="T28" i="34" s="1"/>
  <c r="J27" i="34"/>
  <c r="O27" i="34" s="1"/>
  <c r="T27" i="34" s="1"/>
  <c r="J26" i="34"/>
  <c r="O26" i="34" s="1"/>
  <c r="T26" i="34" s="1"/>
  <c r="J25" i="34"/>
  <c r="O25" i="34" s="1"/>
  <c r="T25" i="34" s="1"/>
  <c r="J24" i="34"/>
  <c r="O24" i="34" s="1"/>
  <c r="T24" i="34" s="1"/>
  <c r="J23" i="34"/>
  <c r="O23" i="34" s="1"/>
  <c r="T23" i="34" s="1"/>
  <c r="J22" i="34"/>
  <c r="O22" i="34" s="1"/>
  <c r="T22" i="34" s="1"/>
  <c r="J20" i="34"/>
  <c r="O20" i="34" s="1"/>
  <c r="T20" i="34" s="1"/>
  <c r="J19" i="34"/>
  <c r="O19" i="34" s="1"/>
  <c r="T19" i="34" s="1"/>
  <c r="J18" i="34"/>
  <c r="O18" i="34" s="1"/>
  <c r="T18" i="34" s="1"/>
  <c r="J17" i="34"/>
  <c r="O17" i="34" s="1"/>
  <c r="T17" i="34" s="1"/>
  <c r="J16" i="34"/>
  <c r="O16" i="34" s="1"/>
  <c r="T16" i="34" s="1"/>
  <c r="J14" i="34"/>
  <c r="O14" i="34" s="1"/>
  <c r="T14" i="34" s="1"/>
  <c r="J13" i="34"/>
  <c r="O13" i="34" s="1"/>
  <c r="T13" i="34" s="1"/>
  <c r="J12" i="34"/>
  <c r="O12" i="34" s="1"/>
  <c r="T12" i="34" s="1"/>
  <c r="J11" i="34"/>
  <c r="O11" i="34" s="1"/>
  <c r="T11" i="34" s="1"/>
  <c r="J10" i="34"/>
  <c r="O10" i="34" s="1"/>
  <c r="T10" i="34" s="1"/>
  <c r="J9" i="34"/>
  <c r="O9" i="34" s="1"/>
  <c r="T9" i="34" s="1"/>
  <c r="J8" i="34"/>
  <c r="O8" i="34" s="1"/>
  <c r="T8" i="34" s="1"/>
  <c r="J7" i="34"/>
  <c r="O7" i="34" s="1"/>
  <c r="T7" i="34" s="1"/>
  <c r="J6" i="34"/>
  <c r="X60" i="33"/>
  <c r="W60" i="33"/>
  <c r="S60" i="33"/>
  <c r="R60" i="33"/>
  <c r="Q60" i="33"/>
  <c r="P60" i="33"/>
  <c r="N60" i="33"/>
  <c r="M60" i="33"/>
  <c r="L60" i="33"/>
  <c r="K60" i="33"/>
  <c r="J59" i="33"/>
  <c r="O59" i="33" s="1"/>
  <c r="T59" i="33" s="1"/>
  <c r="J58" i="33"/>
  <c r="O58" i="33" s="1"/>
  <c r="T58" i="33" s="1"/>
  <c r="J57" i="33"/>
  <c r="O57" i="33" s="1"/>
  <c r="T57" i="33" s="1"/>
  <c r="J56" i="33"/>
  <c r="O56" i="33" s="1"/>
  <c r="T56" i="33" s="1"/>
  <c r="J55" i="33"/>
  <c r="O55" i="33" s="1"/>
  <c r="T55" i="33" s="1"/>
  <c r="J54" i="33"/>
  <c r="O54" i="33" s="1"/>
  <c r="T54" i="33" s="1"/>
  <c r="J53" i="33"/>
  <c r="O53" i="33" s="1"/>
  <c r="T53" i="33" s="1"/>
  <c r="J52" i="33"/>
  <c r="O52" i="33" s="1"/>
  <c r="T52" i="33" s="1"/>
  <c r="J51" i="33"/>
  <c r="O51" i="33" s="1"/>
  <c r="T51" i="33" s="1"/>
  <c r="J50" i="33"/>
  <c r="O50" i="33" s="1"/>
  <c r="T50" i="33" s="1"/>
  <c r="J49" i="33"/>
  <c r="O49" i="33" s="1"/>
  <c r="T49" i="33" s="1"/>
  <c r="J48" i="33"/>
  <c r="O48" i="33" s="1"/>
  <c r="T48" i="33" s="1"/>
  <c r="J47" i="33"/>
  <c r="O47" i="33" s="1"/>
  <c r="T47" i="33" s="1"/>
  <c r="J46" i="33"/>
  <c r="O46" i="33" s="1"/>
  <c r="T46" i="33" s="1"/>
  <c r="J45" i="33"/>
  <c r="O45" i="33" s="1"/>
  <c r="T45" i="33" s="1"/>
  <c r="J44" i="33"/>
  <c r="O44" i="33" s="1"/>
  <c r="T44" i="33" s="1"/>
  <c r="J43" i="33"/>
  <c r="O43" i="33" s="1"/>
  <c r="T43" i="33" s="1"/>
  <c r="J42" i="33"/>
  <c r="O42" i="33" s="1"/>
  <c r="T42" i="33" s="1"/>
  <c r="J41" i="33"/>
  <c r="O41" i="33" s="1"/>
  <c r="T41" i="33" s="1"/>
  <c r="J40" i="33"/>
  <c r="O40" i="33" s="1"/>
  <c r="T40" i="33" s="1"/>
  <c r="J39" i="33"/>
  <c r="O39" i="33" s="1"/>
  <c r="T39" i="33" s="1"/>
  <c r="J38" i="33"/>
  <c r="O38" i="33" s="1"/>
  <c r="T38" i="33" s="1"/>
  <c r="J37" i="33"/>
  <c r="O37" i="33" s="1"/>
  <c r="T37" i="33" s="1"/>
  <c r="J36" i="33"/>
  <c r="O36" i="33" s="1"/>
  <c r="T36" i="33" s="1"/>
  <c r="J35" i="33"/>
  <c r="O35" i="33" s="1"/>
  <c r="T35" i="33" s="1"/>
  <c r="J34" i="33"/>
  <c r="O34" i="33" s="1"/>
  <c r="T34" i="33" s="1"/>
  <c r="J33" i="33"/>
  <c r="O33" i="33" s="1"/>
  <c r="T33" i="33" s="1"/>
  <c r="J32" i="33"/>
  <c r="O32" i="33" s="1"/>
  <c r="T32" i="33" s="1"/>
  <c r="J31" i="33"/>
  <c r="O31" i="33" s="1"/>
  <c r="T31" i="33" s="1"/>
  <c r="J30" i="33"/>
  <c r="O30" i="33" s="1"/>
  <c r="T30" i="33" s="1"/>
  <c r="J29" i="33"/>
  <c r="O29" i="33" s="1"/>
  <c r="T29" i="33" s="1"/>
  <c r="J28" i="33"/>
  <c r="O28" i="33" s="1"/>
  <c r="T28" i="33" s="1"/>
  <c r="J27" i="33"/>
  <c r="O27" i="33" s="1"/>
  <c r="T27" i="33" s="1"/>
  <c r="J26" i="33"/>
  <c r="O26" i="33" s="1"/>
  <c r="T26" i="33" s="1"/>
  <c r="J25" i="33"/>
  <c r="O25" i="33" s="1"/>
  <c r="T25" i="33" s="1"/>
  <c r="J24" i="33"/>
  <c r="O24" i="33" s="1"/>
  <c r="T24" i="33" s="1"/>
  <c r="J23" i="33"/>
  <c r="O23" i="33" s="1"/>
  <c r="T23" i="33" s="1"/>
  <c r="J22" i="33"/>
  <c r="O22" i="33" s="1"/>
  <c r="T22" i="33" s="1"/>
  <c r="J21" i="33"/>
  <c r="O21" i="33" s="1"/>
  <c r="T21" i="33" s="1"/>
  <c r="J20" i="33"/>
  <c r="O20" i="33" s="1"/>
  <c r="T20" i="33" s="1"/>
  <c r="J19" i="33"/>
  <c r="O19" i="33" s="1"/>
  <c r="T19" i="33" s="1"/>
  <c r="J18" i="33"/>
  <c r="O18" i="33" s="1"/>
  <c r="T18" i="33" s="1"/>
  <c r="J17" i="33"/>
  <c r="O17" i="33" s="1"/>
  <c r="T17" i="33" s="1"/>
  <c r="J16" i="33"/>
  <c r="O16" i="33" s="1"/>
  <c r="T16" i="33" s="1"/>
  <c r="J15" i="33"/>
  <c r="O15" i="33" s="1"/>
  <c r="T15" i="33" s="1"/>
  <c r="J14" i="33"/>
  <c r="O14" i="33" s="1"/>
  <c r="T14" i="33" s="1"/>
  <c r="J13" i="33"/>
  <c r="O13" i="33" s="1"/>
  <c r="T13" i="33" s="1"/>
  <c r="J12" i="33"/>
  <c r="O12" i="33" s="1"/>
  <c r="T12" i="33" s="1"/>
  <c r="J11" i="33"/>
  <c r="O11" i="33" s="1"/>
  <c r="T11" i="33" s="1"/>
  <c r="J10" i="33"/>
  <c r="O10" i="33" s="1"/>
  <c r="T10" i="33" s="1"/>
  <c r="J9" i="33"/>
  <c r="O9" i="33" s="1"/>
  <c r="T9" i="33" s="1"/>
  <c r="J8" i="33"/>
  <c r="O8" i="33" s="1"/>
  <c r="T8" i="33" s="1"/>
  <c r="J7" i="33"/>
  <c r="O7" i="33" s="1"/>
  <c r="T7" i="33" s="1"/>
  <c r="J6" i="33"/>
  <c r="O6" i="33" s="1"/>
  <c r="T6" i="33" s="1"/>
  <c r="W64" i="28"/>
  <c r="V64" i="28"/>
  <c r="J64" i="28"/>
  <c r="K64" i="28"/>
  <c r="L64" i="28"/>
  <c r="M64" i="28"/>
  <c r="N64" i="28"/>
  <c r="O64" i="28"/>
  <c r="P64" i="28"/>
  <c r="Q64" i="28"/>
  <c r="R64" i="28"/>
  <c r="S64" i="28"/>
  <c r="I64" i="28"/>
  <c r="W62" i="31"/>
  <c r="K62" i="31"/>
  <c r="L62" i="31"/>
  <c r="M62" i="31"/>
  <c r="N62" i="31"/>
  <c r="P62" i="31"/>
  <c r="Q62" i="31"/>
  <c r="R62" i="31"/>
  <c r="S62" i="31"/>
  <c r="R31" i="42" l="1"/>
  <c r="S9" i="42"/>
  <c r="V6" i="43"/>
  <c r="U62" i="43"/>
  <c r="T62" i="41"/>
  <c r="AA6" i="41"/>
  <c r="T6" i="39"/>
  <c r="O62" i="39"/>
  <c r="T6" i="38"/>
  <c r="O68" i="38"/>
  <c r="AA23" i="37"/>
  <c r="AA35" i="37"/>
  <c r="AA58" i="37"/>
  <c r="AA16" i="37"/>
  <c r="AA20" i="37"/>
  <c r="AA40" i="37"/>
  <c r="AA19" i="37"/>
  <c r="AA31" i="37"/>
  <c r="AA8" i="37"/>
  <c r="AA12" i="37"/>
  <c r="AA17" i="37"/>
  <c r="AA41" i="37"/>
  <c r="AA15" i="37"/>
  <c r="AA27" i="37"/>
  <c r="AA43" i="37"/>
  <c r="AA13" i="37"/>
  <c r="AA18" i="37"/>
  <c r="AA26" i="37"/>
  <c r="AA38" i="37"/>
  <c r="AA42" i="37"/>
  <c r="Q65" i="37"/>
  <c r="J65" i="37"/>
  <c r="O6" i="37"/>
  <c r="J55" i="36"/>
  <c r="O6" i="36"/>
  <c r="J53" i="35"/>
  <c r="O53" i="35"/>
  <c r="T6" i="35"/>
  <c r="T53" i="35" s="1"/>
  <c r="J53" i="34"/>
  <c r="O6" i="34"/>
  <c r="J60" i="33"/>
  <c r="O60" i="33"/>
  <c r="O63" i="33" s="1"/>
  <c r="T60" i="33"/>
  <c r="X62" i="31"/>
  <c r="J61" i="31"/>
  <c r="O61" i="31" s="1"/>
  <c r="T61" i="31" s="1"/>
  <c r="J60" i="31"/>
  <c r="O60" i="31" s="1"/>
  <c r="T60" i="31" s="1"/>
  <c r="J59" i="31"/>
  <c r="O59" i="31" s="1"/>
  <c r="T59" i="31" s="1"/>
  <c r="J58" i="31"/>
  <c r="J57" i="31"/>
  <c r="J56" i="31"/>
  <c r="O56" i="31" s="1"/>
  <c r="T56" i="31" s="1"/>
  <c r="J55" i="31"/>
  <c r="O55" i="31" s="1"/>
  <c r="T55" i="31" s="1"/>
  <c r="J54" i="31"/>
  <c r="O54" i="31" s="1"/>
  <c r="T54" i="31" s="1"/>
  <c r="J53" i="31"/>
  <c r="O53" i="31" s="1"/>
  <c r="T53" i="31" s="1"/>
  <c r="J52" i="31"/>
  <c r="O52" i="31" s="1"/>
  <c r="T52" i="31" s="1"/>
  <c r="J51" i="31"/>
  <c r="O51" i="31" s="1"/>
  <c r="T51" i="31" s="1"/>
  <c r="J50" i="31"/>
  <c r="O50" i="31" s="1"/>
  <c r="T50" i="31" s="1"/>
  <c r="J49" i="31"/>
  <c r="O49" i="31" s="1"/>
  <c r="T49" i="31" s="1"/>
  <c r="J48" i="31"/>
  <c r="O48" i="31" s="1"/>
  <c r="T48" i="31" s="1"/>
  <c r="J47" i="31"/>
  <c r="O47" i="31" s="1"/>
  <c r="T47" i="31" s="1"/>
  <c r="J46" i="31"/>
  <c r="O46" i="31" s="1"/>
  <c r="T46" i="31" s="1"/>
  <c r="J45" i="31"/>
  <c r="O45" i="31" s="1"/>
  <c r="T45" i="31" s="1"/>
  <c r="J44" i="31"/>
  <c r="O44" i="31" s="1"/>
  <c r="T44" i="31" s="1"/>
  <c r="J43" i="31"/>
  <c r="O43" i="31" s="1"/>
  <c r="T43" i="31" s="1"/>
  <c r="J42" i="31"/>
  <c r="O42" i="31" s="1"/>
  <c r="T42" i="31" s="1"/>
  <c r="J41" i="31"/>
  <c r="O41" i="31" s="1"/>
  <c r="T41" i="31" s="1"/>
  <c r="J40" i="31"/>
  <c r="O40" i="31" s="1"/>
  <c r="T40" i="31" s="1"/>
  <c r="J39" i="31"/>
  <c r="O39" i="31" s="1"/>
  <c r="T39" i="31" s="1"/>
  <c r="J38" i="31"/>
  <c r="O38" i="31" s="1"/>
  <c r="T38" i="31" s="1"/>
  <c r="J37" i="31"/>
  <c r="O37" i="31" s="1"/>
  <c r="T37" i="31" s="1"/>
  <c r="J36" i="31"/>
  <c r="O36" i="31" s="1"/>
  <c r="T36" i="31" s="1"/>
  <c r="J35" i="31"/>
  <c r="O35" i="31" s="1"/>
  <c r="T35" i="31" s="1"/>
  <c r="J34" i="31"/>
  <c r="O34" i="31" s="1"/>
  <c r="T34" i="31" s="1"/>
  <c r="J33" i="31"/>
  <c r="O33" i="31" s="1"/>
  <c r="T33" i="31" s="1"/>
  <c r="J32" i="31"/>
  <c r="O32" i="31" s="1"/>
  <c r="T32" i="31" s="1"/>
  <c r="J31" i="31"/>
  <c r="O31" i="31" s="1"/>
  <c r="T31" i="31" s="1"/>
  <c r="J30" i="31"/>
  <c r="O30" i="31" s="1"/>
  <c r="T30" i="31" s="1"/>
  <c r="J29" i="31"/>
  <c r="O29" i="31" s="1"/>
  <c r="T29" i="31" s="1"/>
  <c r="J28" i="31"/>
  <c r="O28" i="31" s="1"/>
  <c r="T28" i="31" s="1"/>
  <c r="J27" i="31"/>
  <c r="O27" i="31" s="1"/>
  <c r="T27" i="31" s="1"/>
  <c r="J26" i="31"/>
  <c r="O26" i="31" s="1"/>
  <c r="T26" i="31" s="1"/>
  <c r="J25" i="31"/>
  <c r="O25" i="31" s="1"/>
  <c r="T25" i="31" s="1"/>
  <c r="J24" i="31"/>
  <c r="O24" i="31" s="1"/>
  <c r="T24" i="31" s="1"/>
  <c r="J23" i="31"/>
  <c r="O23" i="31" s="1"/>
  <c r="T23" i="31" s="1"/>
  <c r="J22" i="31"/>
  <c r="O22" i="31" s="1"/>
  <c r="T22" i="31" s="1"/>
  <c r="J21" i="31"/>
  <c r="O21" i="31" s="1"/>
  <c r="T21" i="31" s="1"/>
  <c r="J20" i="31"/>
  <c r="O20" i="31" s="1"/>
  <c r="T20" i="31" s="1"/>
  <c r="J19" i="31"/>
  <c r="O19" i="31" s="1"/>
  <c r="T19" i="31" s="1"/>
  <c r="J18" i="31"/>
  <c r="O18" i="31" s="1"/>
  <c r="T18" i="31" s="1"/>
  <c r="J17" i="31"/>
  <c r="O17" i="31" s="1"/>
  <c r="T17" i="31" s="1"/>
  <c r="J16" i="31"/>
  <c r="O16" i="31" s="1"/>
  <c r="T16" i="31" s="1"/>
  <c r="J15" i="31"/>
  <c r="O15" i="31" s="1"/>
  <c r="T15" i="31" s="1"/>
  <c r="J14" i="31"/>
  <c r="O14" i="31" s="1"/>
  <c r="T14" i="31" s="1"/>
  <c r="J13" i="31"/>
  <c r="O13" i="31" s="1"/>
  <c r="T13" i="31" s="1"/>
  <c r="J12" i="31"/>
  <c r="O12" i="31" s="1"/>
  <c r="T12" i="31" s="1"/>
  <c r="J11" i="31"/>
  <c r="O11" i="31" s="1"/>
  <c r="T11" i="31" s="1"/>
  <c r="J10" i="31"/>
  <c r="O10" i="31" s="1"/>
  <c r="T10" i="31" s="1"/>
  <c r="J9" i="31"/>
  <c r="O9" i="31" s="1"/>
  <c r="T9" i="31" s="1"/>
  <c r="J8" i="31"/>
  <c r="O8" i="31" s="1"/>
  <c r="T8" i="31" s="1"/>
  <c r="J7" i="31"/>
  <c r="O7" i="31" s="1"/>
  <c r="T7" i="31" s="1"/>
  <c r="J6" i="31"/>
  <c r="V62" i="43" l="1"/>
  <c r="W6" i="43"/>
  <c r="W62" i="43" s="1"/>
  <c r="T62" i="39"/>
  <c r="AA6" i="38"/>
  <c r="T68" i="38"/>
  <c r="T39" i="37"/>
  <c r="T6" i="37"/>
  <c r="O65" i="37"/>
  <c r="O55" i="36"/>
  <c r="O58" i="36" s="1"/>
  <c r="T6" i="36"/>
  <c r="T55" i="36" s="1"/>
  <c r="O53" i="34"/>
  <c r="O57" i="34" s="1"/>
  <c r="T6" i="34"/>
  <c r="T53" i="34" s="1"/>
  <c r="O58" i="31"/>
  <c r="T58" i="31" s="1"/>
  <c r="O57" i="31"/>
  <c r="T57" i="31" s="1"/>
  <c r="J62" i="31"/>
  <c r="O6" i="31"/>
  <c r="AA39" i="37" l="1"/>
  <c r="T65" i="37"/>
  <c r="AA6" i="37"/>
  <c r="O62" i="31"/>
  <c r="T6" i="31"/>
  <c r="T62" i="31" s="1"/>
  <c r="R66" i="29" l="1"/>
  <c r="Q66" i="29"/>
  <c r="P66" i="29"/>
  <c r="O66" i="29"/>
  <c r="M66" i="29"/>
  <c r="L66" i="29"/>
  <c r="K66" i="29"/>
  <c r="J66" i="29"/>
  <c r="I65" i="29"/>
  <c r="N65" i="29" s="1"/>
  <c r="S65" i="29" s="1"/>
  <c r="N64" i="29"/>
  <c r="S64" i="29" s="1"/>
  <c r="I64" i="29"/>
  <c r="I63" i="29"/>
  <c r="N63" i="29" s="1"/>
  <c r="S63" i="29" s="1"/>
  <c r="N62" i="29"/>
  <c r="S62" i="29" s="1"/>
  <c r="I62" i="29"/>
  <c r="I61" i="29"/>
  <c r="N61" i="29" s="1"/>
  <c r="S61" i="29" s="1"/>
  <c r="N60" i="29"/>
  <c r="S60" i="29" s="1"/>
  <c r="I60" i="29"/>
  <c r="I59" i="29"/>
  <c r="N59" i="29" s="1"/>
  <c r="S59" i="29" s="1"/>
  <c r="N58" i="29"/>
  <c r="S58" i="29" s="1"/>
  <c r="I58" i="29"/>
  <c r="I57" i="29"/>
  <c r="N57" i="29" s="1"/>
  <c r="S57" i="29" s="1"/>
  <c r="N56" i="29"/>
  <c r="S56" i="29" s="1"/>
  <c r="I56" i="29"/>
  <c r="I55" i="29"/>
  <c r="N55" i="29" s="1"/>
  <c r="S55" i="29" s="1"/>
  <c r="N54" i="29"/>
  <c r="S54" i="29" s="1"/>
  <c r="I54" i="29"/>
  <c r="I53" i="29"/>
  <c r="N53" i="29" s="1"/>
  <c r="S53" i="29" s="1"/>
  <c r="W52" i="29"/>
  <c r="I52" i="29"/>
  <c r="N52" i="29" s="1"/>
  <c r="S52" i="29" s="1"/>
  <c r="W51" i="29"/>
  <c r="I51" i="29"/>
  <c r="N51" i="29" s="1"/>
  <c r="S51" i="29" s="1"/>
  <c r="W50" i="29"/>
  <c r="I50" i="29"/>
  <c r="N50" i="29" s="1"/>
  <c r="S50" i="29" s="1"/>
  <c r="W49" i="29"/>
  <c r="I49" i="29"/>
  <c r="N49" i="29" s="1"/>
  <c r="S49" i="29" s="1"/>
  <c r="W48" i="29"/>
  <c r="I48" i="29"/>
  <c r="N48" i="29" s="1"/>
  <c r="S48" i="29" s="1"/>
  <c r="W47" i="29"/>
  <c r="I47" i="29"/>
  <c r="N47" i="29" s="1"/>
  <c r="S47" i="29" s="1"/>
  <c r="W46" i="29"/>
  <c r="I46" i="29"/>
  <c r="N46" i="29" s="1"/>
  <c r="S46" i="29" s="1"/>
  <c r="W45" i="29"/>
  <c r="I45" i="29"/>
  <c r="N45" i="29" s="1"/>
  <c r="S45" i="29" s="1"/>
  <c r="N44" i="29"/>
  <c r="S44" i="29" s="1"/>
  <c r="I44" i="29"/>
  <c r="I43" i="29"/>
  <c r="N43" i="29" s="1"/>
  <c r="S43" i="29" s="1"/>
  <c r="N42" i="29"/>
  <c r="S42" i="29" s="1"/>
  <c r="I42" i="29"/>
  <c r="I41" i="29"/>
  <c r="N41" i="29" s="1"/>
  <c r="S41" i="29" s="1"/>
  <c r="N40" i="29"/>
  <c r="S40" i="29" s="1"/>
  <c r="I40" i="29"/>
  <c r="I39" i="29"/>
  <c r="N39" i="29" s="1"/>
  <c r="S39" i="29" s="1"/>
  <c r="I38" i="29"/>
  <c r="N38" i="29" s="1"/>
  <c r="S38" i="29" s="1"/>
  <c r="W38" i="29" s="1"/>
  <c r="N37" i="29"/>
  <c r="S37" i="29" s="1"/>
  <c r="I37" i="29"/>
  <c r="I36" i="29"/>
  <c r="N36" i="29" s="1"/>
  <c r="S36" i="29" s="1"/>
  <c r="N35" i="29"/>
  <c r="S35" i="29" s="1"/>
  <c r="I35" i="29"/>
  <c r="I34" i="29"/>
  <c r="N34" i="29" s="1"/>
  <c r="S34" i="29" s="1"/>
  <c r="I33" i="29"/>
  <c r="N33" i="29" s="1"/>
  <c r="S33" i="29" s="1"/>
  <c r="W33" i="29" s="1"/>
  <c r="N32" i="29"/>
  <c r="S32" i="29" s="1"/>
  <c r="I32" i="29"/>
  <c r="I31" i="29"/>
  <c r="N31" i="29" s="1"/>
  <c r="S31" i="29" s="1"/>
  <c r="N30" i="29"/>
  <c r="S30" i="29" s="1"/>
  <c r="I30" i="29"/>
  <c r="I29" i="29"/>
  <c r="N29" i="29" s="1"/>
  <c r="S29" i="29" s="1"/>
  <c r="N28" i="29"/>
  <c r="S28" i="29" s="1"/>
  <c r="I28" i="29"/>
  <c r="I27" i="29"/>
  <c r="N27" i="29" s="1"/>
  <c r="S27" i="29" s="1"/>
  <c r="N26" i="29"/>
  <c r="S26" i="29" s="1"/>
  <c r="I26" i="29"/>
  <c r="I25" i="29"/>
  <c r="N25" i="29" s="1"/>
  <c r="S25" i="29" s="1"/>
  <c r="N24" i="29"/>
  <c r="S24" i="29" s="1"/>
  <c r="I24" i="29"/>
  <c r="I23" i="29"/>
  <c r="N23" i="29" s="1"/>
  <c r="S23" i="29" s="1"/>
  <c r="N22" i="29"/>
  <c r="S22" i="29" s="1"/>
  <c r="I22" i="29"/>
  <c r="I21" i="29"/>
  <c r="N21" i="29" s="1"/>
  <c r="S21" i="29" s="1"/>
  <c r="I20" i="29"/>
  <c r="N20" i="29" s="1"/>
  <c r="S20" i="29" s="1"/>
  <c r="W20" i="29" s="1"/>
  <c r="N19" i="29"/>
  <c r="S19" i="29" s="1"/>
  <c r="I19" i="29"/>
  <c r="I18" i="29"/>
  <c r="N18" i="29" s="1"/>
  <c r="S18" i="29" s="1"/>
  <c r="N17" i="29"/>
  <c r="S17" i="29" s="1"/>
  <c r="I17" i="29"/>
  <c r="I16" i="29"/>
  <c r="N16" i="29" s="1"/>
  <c r="S16" i="29" s="1"/>
  <c r="N15" i="29"/>
  <c r="S15" i="29" s="1"/>
  <c r="I15" i="29"/>
  <c r="I14" i="29"/>
  <c r="N14" i="29" s="1"/>
  <c r="S14" i="29" s="1"/>
  <c r="N13" i="29"/>
  <c r="S13" i="29" s="1"/>
  <c r="I13" i="29"/>
  <c r="I12" i="29"/>
  <c r="N12" i="29" s="1"/>
  <c r="S12" i="29" s="1"/>
  <c r="N11" i="29"/>
  <c r="S11" i="29" s="1"/>
  <c r="I11" i="29"/>
  <c r="I10" i="29"/>
  <c r="N10" i="29" s="1"/>
  <c r="S10" i="29" s="1"/>
  <c r="N9" i="29"/>
  <c r="S9" i="29" s="1"/>
  <c r="I9" i="29"/>
  <c r="I8" i="29"/>
  <c r="N8" i="29" s="1"/>
  <c r="S8" i="29" s="1"/>
  <c r="N7" i="29"/>
  <c r="S7" i="29" s="1"/>
  <c r="I7" i="29"/>
  <c r="I6" i="29"/>
  <c r="N6" i="29" s="1"/>
  <c r="I48" i="28"/>
  <c r="N48" i="28" s="1"/>
  <c r="S48" i="28" s="1"/>
  <c r="W48" i="28" s="1"/>
  <c r="I38" i="28"/>
  <c r="N38" i="28" s="1"/>
  <c r="S38" i="28" s="1"/>
  <c r="W38" i="28" s="1"/>
  <c r="I33" i="28"/>
  <c r="N33" i="28" s="1"/>
  <c r="S33" i="28" s="1"/>
  <c r="I20" i="28"/>
  <c r="N20" i="28" s="1"/>
  <c r="S20" i="28" s="1"/>
  <c r="I51" i="28"/>
  <c r="N51" i="28" s="1"/>
  <c r="S51" i="28" s="1"/>
  <c r="I52" i="28"/>
  <c r="N52" i="28" s="1"/>
  <c r="S52" i="28" s="1"/>
  <c r="I53" i="28"/>
  <c r="N53" i="28" s="1"/>
  <c r="S53" i="28" s="1"/>
  <c r="I54" i="28"/>
  <c r="N54" i="28" s="1"/>
  <c r="S54" i="28" s="1"/>
  <c r="I55" i="28"/>
  <c r="N55" i="28" s="1"/>
  <c r="S55" i="28" s="1"/>
  <c r="I56" i="28"/>
  <c r="N56" i="28" s="1"/>
  <c r="S56" i="28" s="1"/>
  <c r="I57" i="28"/>
  <c r="N57" i="28" s="1"/>
  <c r="S57" i="28" s="1"/>
  <c r="I58" i="28"/>
  <c r="N58" i="28" s="1"/>
  <c r="S58" i="28" s="1"/>
  <c r="I59" i="28"/>
  <c r="N59" i="28" s="1"/>
  <c r="S59" i="28" s="1"/>
  <c r="I60" i="28"/>
  <c r="N60" i="28" s="1"/>
  <c r="S60" i="28" s="1"/>
  <c r="I61" i="28"/>
  <c r="N61" i="28" s="1"/>
  <c r="S61" i="28" s="1"/>
  <c r="I62" i="28"/>
  <c r="N62" i="28" s="1"/>
  <c r="S62" i="28" s="1"/>
  <c r="I63" i="28"/>
  <c r="N63" i="28" s="1"/>
  <c r="S63" i="28" s="1"/>
  <c r="I13" i="28"/>
  <c r="N13" i="28" s="1"/>
  <c r="S13" i="28" s="1"/>
  <c r="I14" i="28"/>
  <c r="N14" i="28" s="1"/>
  <c r="S14" i="28" s="1"/>
  <c r="I15" i="28"/>
  <c r="N15" i="28" s="1"/>
  <c r="S15" i="28" s="1"/>
  <c r="I16" i="28"/>
  <c r="N16" i="28" s="1"/>
  <c r="S16" i="28" s="1"/>
  <c r="I17" i="28"/>
  <c r="N17" i="28" s="1"/>
  <c r="S17" i="28" s="1"/>
  <c r="I18" i="28"/>
  <c r="N18" i="28" s="1"/>
  <c r="S18" i="28" s="1"/>
  <c r="I19" i="28"/>
  <c r="N19" i="28" s="1"/>
  <c r="S19" i="28" s="1"/>
  <c r="I21" i="28"/>
  <c r="N21" i="28" s="1"/>
  <c r="S21" i="28" s="1"/>
  <c r="I22" i="28"/>
  <c r="N22" i="28" s="1"/>
  <c r="S22" i="28" s="1"/>
  <c r="I23" i="28"/>
  <c r="N23" i="28" s="1"/>
  <c r="S23" i="28" s="1"/>
  <c r="I24" i="28"/>
  <c r="N24" i="28" s="1"/>
  <c r="S24" i="28" s="1"/>
  <c r="I25" i="28"/>
  <c r="N25" i="28" s="1"/>
  <c r="S25" i="28" s="1"/>
  <c r="I26" i="28"/>
  <c r="N26" i="28" s="1"/>
  <c r="S26" i="28" s="1"/>
  <c r="I27" i="28"/>
  <c r="N27" i="28" s="1"/>
  <c r="S27" i="28" s="1"/>
  <c r="I28" i="28"/>
  <c r="N28" i="28" s="1"/>
  <c r="S28" i="28" s="1"/>
  <c r="I29" i="28"/>
  <c r="N29" i="28" s="1"/>
  <c r="S29" i="28" s="1"/>
  <c r="I30" i="28"/>
  <c r="N30" i="28" s="1"/>
  <c r="S30" i="28" s="1"/>
  <c r="I31" i="28"/>
  <c r="N31" i="28" s="1"/>
  <c r="S31" i="28" s="1"/>
  <c r="I32" i="28"/>
  <c r="N32" i="28" s="1"/>
  <c r="S32" i="28" s="1"/>
  <c r="I34" i="28"/>
  <c r="N34" i="28" s="1"/>
  <c r="S34" i="28" s="1"/>
  <c r="I35" i="28"/>
  <c r="N35" i="28" s="1"/>
  <c r="S35" i="28" s="1"/>
  <c r="I36" i="28"/>
  <c r="N36" i="28" s="1"/>
  <c r="S36" i="28" s="1"/>
  <c r="I37" i="28"/>
  <c r="N37" i="28" s="1"/>
  <c r="S37" i="28" s="1"/>
  <c r="I39" i="28"/>
  <c r="N39" i="28" s="1"/>
  <c r="S39" i="28" s="1"/>
  <c r="I40" i="28"/>
  <c r="N40" i="28" s="1"/>
  <c r="S40" i="28" s="1"/>
  <c r="I41" i="28"/>
  <c r="N41" i="28" s="1"/>
  <c r="S41" i="28" s="1"/>
  <c r="I42" i="28"/>
  <c r="N42" i="28" s="1"/>
  <c r="S42" i="28" s="1"/>
  <c r="I43" i="28"/>
  <c r="N43" i="28" s="1"/>
  <c r="S43" i="28" s="1"/>
  <c r="I44" i="28"/>
  <c r="N44" i="28" s="1"/>
  <c r="S44" i="28" s="1"/>
  <c r="I45" i="28"/>
  <c r="N45" i="28" s="1"/>
  <c r="S45" i="28" s="1"/>
  <c r="I46" i="28"/>
  <c r="N46" i="28" s="1"/>
  <c r="S46" i="28" s="1"/>
  <c r="W46" i="28" s="1"/>
  <c r="I47" i="28"/>
  <c r="N47" i="28" s="1"/>
  <c r="S47" i="28" s="1"/>
  <c r="I10" i="28"/>
  <c r="N10" i="28" s="1"/>
  <c r="S10" i="28" s="1"/>
  <c r="I11" i="28"/>
  <c r="N11" i="28" s="1"/>
  <c r="S11" i="28" s="1"/>
  <c r="I12" i="28"/>
  <c r="N12" i="28" s="1"/>
  <c r="S12" i="28" s="1"/>
  <c r="I49" i="28"/>
  <c r="N49" i="28" s="1"/>
  <c r="S49" i="28" s="1"/>
  <c r="I50" i="28"/>
  <c r="N50" i="28" s="1"/>
  <c r="S50" i="28" s="1"/>
  <c r="K7" i="24"/>
  <c r="K8" i="24"/>
  <c r="K9" i="24"/>
  <c r="K10" i="24"/>
  <c r="K11" i="24"/>
  <c r="W33" i="28" l="1"/>
  <c r="W45" i="28"/>
  <c r="W50" i="28"/>
  <c r="W47" i="28"/>
  <c r="W20" i="28"/>
  <c r="W49" i="28"/>
  <c r="N66" i="29"/>
  <c r="S6" i="29"/>
  <c r="S66" i="29" s="1"/>
  <c r="I66" i="29"/>
  <c r="U24" i="24"/>
  <c r="T24" i="24"/>
  <c r="S24" i="24"/>
  <c r="R24" i="24"/>
  <c r="K23" i="24" l="1"/>
  <c r="Q23" i="24" s="1"/>
  <c r="V23" i="24" s="1"/>
  <c r="I9" i="28" l="1"/>
  <c r="N9" i="28" s="1"/>
  <c r="S9" i="28" s="1"/>
  <c r="I8" i="28"/>
  <c r="N8" i="28" s="1"/>
  <c r="S8" i="28" s="1"/>
  <c r="I7" i="28"/>
  <c r="N7" i="28" s="1"/>
  <c r="S7" i="28" s="1"/>
  <c r="I6" i="28"/>
  <c r="N6" i="28" l="1"/>
  <c r="S6" i="28" s="1"/>
  <c r="M24" i="24" l="1"/>
  <c r="K22" i="24"/>
  <c r="Q22" i="24" s="1"/>
  <c r="V22" i="24" s="1"/>
  <c r="K21" i="24"/>
  <c r="Q21" i="24" s="1"/>
  <c r="V21" i="24" s="1"/>
  <c r="K20" i="24"/>
  <c r="Q20" i="24" s="1"/>
  <c r="V20" i="24" s="1"/>
  <c r="O24" i="24" l="1"/>
  <c r="Q11" i="24" l="1"/>
  <c r="V11" i="24" s="1"/>
  <c r="N24" i="24" l="1"/>
  <c r="L24" i="24"/>
  <c r="Q9" i="24"/>
  <c r="V9" i="24" s="1"/>
  <c r="Q10" i="24"/>
  <c r="V10" i="24" s="1"/>
  <c r="K12" i="24"/>
  <c r="Q12" i="24" s="1"/>
  <c r="V12" i="24" s="1"/>
  <c r="K13" i="24"/>
  <c r="Q13" i="24" s="1"/>
  <c r="V13" i="24" s="1"/>
  <c r="K14" i="24"/>
  <c r="Q14" i="24" s="1"/>
  <c r="V14" i="24" s="1"/>
  <c r="K15" i="24"/>
  <c r="Q15" i="24" s="1"/>
  <c r="V15" i="24" s="1"/>
  <c r="K16" i="24"/>
  <c r="Q16" i="24" s="1"/>
  <c r="V16" i="24" s="1"/>
  <c r="K17" i="24"/>
  <c r="Q17" i="24" s="1"/>
  <c r="V17" i="24" s="1"/>
  <c r="K18" i="24"/>
  <c r="Q18" i="24" s="1"/>
  <c r="V18" i="24" s="1"/>
  <c r="K19" i="24"/>
  <c r="Q19" i="24" s="1"/>
  <c r="V19" i="24" s="1"/>
  <c r="Q8" i="24"/>
  <c r="V8" i="24" s="1"/>
  <c r="Q7" i="24"/>
  <c r="V7" i="24" s="1"/>
  <c r="K6" i="24"/>
  <c r="K24" i="24" l="1"/>
  <c r="P24" i="24"/>
  <c r="Q6" i="24"/>
  <c r="Q24" i="24" s="1"/>
  <c r="V6" i="24" l="1"/>
  <c r="V24" i="24" s="1"/>
  <c r="U60" i="40"/>
  <c r="U59" i="40"/>
  <c r="U25" i="40"/>
  <c r="U27" i="40" l="1"/>
  <c r="U21" i="40"/>
  <c r="U31" i="40"/>
  <c r="U12" i="40"/>
  <c r="U16" i="40"/>
  <c r="U41" i="40"/>
  <c r="U49" i="40"/>
  <c r="U18" i="40"/>
  <c r="U20" i="40"/>
  <c r="U7" i="40"/>
  <c r="U50" i="40"/>
  <c r="U17" i="40"/>
  <c r="U23" i="40"/>
  <c r="U36" i="40"/>
  <c r="U42" i="40"/>
  <c r="U57" i="40"/>
  <c r="U9" i="40"/>
  <c r="U26" i="40"/>
  <c r="U33" i="40"/>
  <c r="U51" i="40"/>
  <c r="U55" i="40"/>
  <c r="U13" i="40"/>
  <c r="U43" i="40"/>
  <c r="U10" i="40"/>
  <c r="U29" i="40"/>
  <c r="U34" i="40"/>
  <c r="U52" i="40"/>
  <c r="U56" i="40"/>
  <c r="U22" i="40"/>
  <c r="U32" i="40"/>
  <c r="U54" i="40"/>
  <c r="U15" i="40"/>
  <c r="U19" i="40"/>
  <c r="U28" i="40"/>
  <c r="U44" i="40"/>
  <c r="U11" i="40"/>
  <c r="U30" i="40"/>
  <c r="U37" i="40"/>
  <c r="U53" i="40"/>
  <c r="U58" i="40"/>
  <c r="U6" i="40"/>
  <c r="S31" i="42"/>
  <c r="U31" i="42"/>
</calcChain>
</file>

<file path=xl/sharedStrings.xml><?xml version="1.0" encoding="utf-8"?>
<sst xmlns="http://schemas.openxmlformats.org/spreadsheetml/2006/main" count="3749" uniqueCount="379">
  <si>
    <t>Total</t>
  </si>
  <si>
    <t>Deductions</t>
  </si>
  <si>
    <t>S/N</t>
  </si>
  <si>
    <t>Gross Accrual Month</t>
  </si>
  <si>
    <t>Name / Arabic
الاسم / عربي</t>
  </si>
  <si>
    <t>Position
الوظيفة</t>
  </si>
  <si>
    <t>Join Date
تاريخ التعيين</t>
  </si>
  <si>
    <t>Basic Salary
KWD
الراتب الأساسي</t>
  </si>
  <si>
    <t>paid leave Days
اجازات مدفوعة</t>
  </si>
  <si>
    <t>Salary KWD
الراتب د.ك</t>
  </si>
  <si>
    <t>Paid Leave KWD
اجازات مدفوعة د.ك</t>
  </si>
  <si>
    <t>Over Time KWD
إضافي د.ك</t>
  </si>
  <si>
    <t>housing allowance 
KWD
بدل سكن د.ك</t>
  </si>
  <si>
    <t>Transportation allowance
KWD
بدل مواصلات د.ك</t>
  </si>
  <si>
    <t>Other
أخرى</t>
  </si>
  <si>
    <t>Total
الإجمالي</t>
  </si>
  <si>
    <t>Penalties
جزاءات</t>
  </si>
  <si>
    <t>Deductions
خصومات</t>
  </si>
  <si>
    <t>Loan
سلف</t>
  </si>
  <si>
    <t>Net Salary
KWD
صافي الراتب</t>
  </si>
  <si>
    <t>Notes
ملاحظات</t>
  </si>
  <si>
    <t>Actual Working Days
أيام العمل الفعلية</t>
  </si>
  <si>
    <t>housing allowance KWD
بدل سكن د.ك</t>
  </si>
  <si>
    <t>Emp. Code
كود</t>
  </si>
  <si>
    <t xml:space="preserve"> Department / Operation</t>
  </si>
  <si>
    <t>Location
الموقع</t>
  </si>
  <si>
    <t xml:space="preserve"> Department / HR</t>
  </si>
  <si>
    <t xml:space="preserve">جمعية بصائر الخيرية </t>
  </si>
  <si>
    <t>May 2024 Payroll Report</t>
  </si>
  <si>
    <t>عيد حسين الخلف</t>
  </si>
  <si>
    <t xml:space="preserve">شيخ اللاباكاش شيخ قاسم </t>
  </si>
  <si>
    <t xml:space="preserve">سليمي دواجو </t>
  </si>
  <si>
    <t>جمال عبد الله الجمعة</t>
  </si>
  <si>
    <t>رشا مصطفى</t>
  </si>
  <si>
    <t>ماريبيل فلورانس</t>
  </si>
  <si>
    <t>إيناس صفوت زيدان</t>
  </si>
  <si>
    <t>مشاعل عبدالله قريطع</t>
  </si>
  <si>
    <t xml:space="preserve">مي حسن صابر </t>
  </si>
  <si>
    <t>ميمونة  عبد الوهاب الضويحي</t>
  </si>
  <si>
    <t>زينب ضاحي شنداخ</t>
  </si>
  <si>
    <t xml:space="preserve">إسراء نعيم فيصل قطان </t>
  </si>
  <si>
    <t>سارة محمد ساكت صغير</t>
  </si>
  <si>
    <t>السيد نبيل رمضان</t>
  </si>
  <si>
    <t>سايد هافسين بوثيا</t>
  </si>
  <si>
    <t>محمد جاهانجير علم</t>
  </si>
  <si>
    <t>محمد عبده علي عبده</t>
  </si>
  <si>
    <t>هنوف حسن علي القحطاني</t>
  </si>
  <si>
    <t>عهود عايد نايف دريب</t>
  </si>
  <si>
    <t xml:space="preserve">حذيفة وارحيم </t>
  </si>
  <si>
    <t>حسن  سعد حسن محمد</t>
  </si>
  <si>
    <t xml:space="preserve">سانتا  شانمو جام </t>
  </si>
  <si>
    <t>هاريثا كومي بيبنشالاياه</t>
  </si>
  <si>
    <t xml:space="preserve">راني باسوفالا ادهي ريدي افولا </t>
  </si>
  <si>
    <t>فين كاتا سيفاكومارا جورامكوندا</t>
  </si>
  <si>
    <t xml:space="preserve">أنس عبد الصبور عبد القاسم </t>
  </si>
  <si>
    <t>رانيا علي  عبد العزيز طه</t>
  </si>
  <si>
    <t>ندى زياد بكور</t>
  </si>
  <si>
    <t>ابتسام محمد المحسن</t>
  </si>
  <si>
    <t xml:space="preserve">علي خالد هايف المطيري </t>
  </si>
  <si>
    <t>رشده داغداس كلالاغان</t>
  </si>
  <si>
    <t>سميحه راجي جروان المجالي</t>
  </si>
  <si>
    <t>روضة خالد احمد تاجي</t>
  </si>
  <si>
    <t>منار فيصل  فيصل عبد الرزاق فياض</t>
  </si>
  <si>
    <t>نسيبة  فرحان محمد</t>
  </si>
  <si>
    <t>سيف إسلام ام دي كرم علي</t>
  </si>
  <si>
    <t>سوريكها جورامكوندا سونكارا</t>
  </si>
  <si>
    <t>صلاح عثمان سيد احمد</t>
  </si>
  <si>
    <t>عثمان  محمد بهلول  تغيان</t>
  </si>
  <si>
    <t>حسين العوايشه</t>
  </si>
  <si>
    <t>احمد قطف</t>
  </si>
  <si>
    <t>أنور صادق على عبد اللطيف</t>
  </si>
  <si>
    <t>نسمة عبد الله علي ناجي</t>
  </si>
  <si>
    <t xml:space="preserve">أحمد سمير حوران </t>
  </si>
  <si>
    <t>أحمد عبدالفضيل أبوزيد</t>
  </si>
  <si>
    <t xml:space="preserve">الجمعية الكويتية للدسلكسيا </t>
  </si>
  <si>
    <t xml:space="preserve">Actual Salary  راتب فعلي </t>
  </si>
  <si>
    <t>Salary return  مرتجع راتب</t>
  </si>
  <si>
    <t xml:space="preserve">Work permit salary         راتب اذن العمل </t>
  </si>
  <si>
    <t>Salary return      مرتجع راتب</t>
  </si>
  <si>
    <t>مهندس كمبيوتر</t>
  </si>
  <si>
    <t>سائق</t>
  </si>
  <si>
    <t>طباخ</t>
  </si>
  <si>
    <t>رئيس قسم الشئون الادارية</t>
  </si>
  <si>
    <t>معالجة لغة إنجليزية</t>
  </si>
  <si>
    <t>المالية</t>
  </si>
  <si>
    <t xml:space="preserve">مكتب رئيس مجلس الإدارة </t>
  </si>
  <si>
    <t>معالجة لغة عربية</t>
  </si>
  <si>
    <t>مندوب</t>
  </si>
  <si>
    <t>فني كمبيوتر</t>
  </si>
  <si>
    <t>عامل</t>
  </si>
  <si>
    <t>إستقبال</t>
  </si>
  <si>
    <t>منسق إداري</t>
  </si>
  <si>
    <t>حارس</t>
  </si>
  <si>
    <t>عاملة</t>
  </si>
  <si>
    <t>أخصائية تشخيص مساعدة</t>
  </si>
  <si>
    <t>معالجة رياضيات</t>
  </si>
  <si>
    <t>أخصائية</t>
  </si>
  <si>
    <t>عماد يوسف عبد الله الشطي</t>
  </si>
  <si>
    <t>طه فتحي عبدالعظيم</t>
  </si>
  <si>
    <t>السيد علي عطالله السيد</t>
  </si>
  <si>
    <t>عبدالرحمن عبدالحميد</t>
  </si>
  <si>
    <t>محمود حسن قاسم البعداني</t>
  </si>
  <si>
    <t xml:space="preserve">قناوي فؤاد عبد الرحمن </t>
  </si>
  <si>
    <t>سمير حسين محمد جنيدي</t>
  </si>
  <si>
    <t>محمد حسين جولفاس ميا</t>
  </si>
  <si>
    <t>سهام محمد سعود بتال</t>
  </si>
  <si>
    <t xml:space="preserve">يحيى محمد هشام لعل محمد </t>
  </si>
  <si>
    <t>فيصل عبد الرزاق بدر</t>
  </si>
  <si>
    <t>نشوى محمد رضا</t>
  </si>
  <si>
    <t xml:space="preserve">أشرف عبد الصبور </t>
  </si>
  <si>
    <t xml:space="preserve">نواف فاضل حسن </t>
  </si>
  <si>
    <t>شامية إبراهيم عبد المعطي  محمد الشامي</t>
  </si>
  <si>
    <t xml:space="preserve">إبراهيم غازي النجدي </t>
  </si>
  <si>
    <t>حمد زهير عبد السلام الشيخ</t>
  </si>
  <si>
    <t xml:space="preserve">خيري عبداللاه عبد الرحيم محمد </t>
  </si>
  <si>
    <t>مشعل جابر سلطان ناصر</t>
  </si>
  <si>
    <t xml:space="preserve">شيخه صباح سلمان شاهر </t>
  </si>
  <si>
    <t xml:space="preserve">عبير صباح سلمان شاهر </t>
  </si>
  <si>
    <t>أمه الله مريم مليلي</t>
  </si>
  <si>
    <t>كوباما ساترام سوبارودو</t>
  </si>
  <si>
    <t>ساري كوب</t>
  </si>
  <si>
    <t>نجمة صالح شريعة</t>
  </si>
  <si>
    <t xml:space="preserve">ياسر عبد الغفور حاجي محمد </t>
  </si>
  <si>
    <t xml:space="preserve">محمد حزام ناجي الخضر </t>
  </si>
  <si>
    <t xml:space="preserve">محمد عبد الرحمن أحمد </t>
  </si>
  <si>
    <t xml:space="preserve">عمرو أحمد عبد الله عبد الحافظ </t>
  </si>
  <si>
    <t>سالم مشعان النايف</t>
  </si>
  <si>
    <t>أحمد محمود عبد الرحيم حسن</t>
  </si>
  <si>
    <t>عبد النور محمد عبد الواحد</t>
  </si>
  <si>
    <t>محمد سعيد كامل عثمان</t>
  </si>
  <si>
    <t>طارق محمد محمود أدريس</t>
  </si>
  <si>
    <t>بسام السيد محمد بدوي شطا</t>
  </si>
  <si>
    <t>وليد خالد عبد النبي محمد</t>
  </si>
  <si>
    <t>مشاري الريض عويد خضير</t>
  </si>
  <si>
    <t>اسرافول أمدي مصطفى</t>
  </si>
  <si>
    <t xml:space="preserve">إيمان حامد الرمضان </t>
  </si>
  <si>
    <t xml:space="preserve">رحيما بيجوم ام دي شابان مياه </t>
  </si>
  <si>
    <t>محمد متعب رواف محمد</t>
  </si>
  <si>
    <t>نهى صوفي عبد الظاهر علي</t>
  </si>
  <si>
    <t>أحلام حمود عبد الولي الطيري</t>
  </si>
  <si>
    <t>عبد الله حمد سليم صالح</t>
  </si>
  <si>
    <t>ريم هليل سلمان الشمري</t>
  </si>
  <si>
    <t>خلود نجر جزاء العتيبي</t>
  </si>
  <si>
    <t>شيمه عادل بنيه العجمي</t>
  </si>
  <si>
    <t>عبد الغفار جمال أبو العلا خميس</t>
  </si>
  <si>
    <t>أنور سعيد عسكر عوض</t>
  </si>
  <si>
    <t>سكرتير تنفيذي</t>
  </si>
  <si>
    <t>مدير مكتب رئيس مجلس الادارة</t>
  </si>
  <si>
    <t>سكرتير لجنة البصيرة</t>
  </si>
  <si>
    <t>سكرتيرفى قطاع المشاريع الخارجية</t>
  </si>
  <si>
    <t>رئيس وحدة الاستقبال للنساء</t>
  </si>
  <si>
    <t>فني اعلام</t>
  </si>
  <si>
    <t>سكرتير ( الخط الساخن )</t>
  </si>
  <si>
    <t xml:space="preserve">سكرتارية اللجنة النسائية </t>
  </si>
  <si>
    <t xml:space="preserve">إستقبال فرع صباح الأحمد </t>
  </si>
  <si>
    <t xml:space="preserve">مشرف قطاع العمل الداخلي </t>
  </si>
  <si>
    <t xml:space="preserve">مشرف مركز الأمل </t>
  </si>
  <si>
    <t xml:space="preserve">حارس مركز الأمل </t>
  </si>
  <si>
    <t xml:space="preserve">مركز الأمل </t>
  </si>
  <si>
    <t xml:space="preserve">عامل صحي </t>
  </si>
  <si>
    <t>كهربائي</t>
  </si>
  <si>
    <t>مدقق حسابات</t>
  </si>
  <si>
    <t>محاسب</t>
  </si>
  <si>
    <t>رئيس حسابات</t>
  </si>
  <si>
    <t>إستقبال الفردوس</t>
  </si>
  <si>
    <t xml:space="preserve">إستقبال عبد الله المبارك </t>
  </si>
  <si>
    <t xml:space="preserve">عاملة عبد الله المبارك </t>
  </si>
  <si>
    <t>محفظة ومشرفة عبد الله المبارك</t>
  </si>
  <si>
    <t>مشرف مركز الأمل</t>
  </si>
  <si>
    <t>مشرفة عبد الله المبارك</t>
  </si>
  <si>
    <t>مصممة عبد الله المبارك</t>
  </si>
  <si>
    <t>الصحي</t>
  </si>
  <si>
    <t>مدير مالي</t>
  </si>
  <si>
    <t>إيمان أحمد الشعراوى</t>
  </si>
  <si>
    <t>أسماء عبد النبى ابراهيم</t>
  </si>
  <si>
    <t>عمران احمد الناطور</t>
  </si>
  <si>
    <t>*</t>
  </si>
  <si>
    <t>الادارة العامة</t>
  </si>
  <si>
    <t>مقر الفردوس</t>
  </si>
  <si>
    <t>لجنة البصيرة</t>
  </si>
  <si>
    <t>مقر الصليبية</t>
  </si>
  <si>
    <t>مقر صباح الاحمد</t>
  </si>
  <si>
    <t>مقر ام الهيمان</t>
  </si>
  <si>
    <t>مسجد بتلة الخرينج</t>
  </si>
  <si>
    <t>عبدالله المبارك</t>
  </si>
  <si>
    <t>اداري</t>
  </si>
  <si>
    <t>مشاريع</t>
  </si>
  <si>
    <t>عمليات</t>
  </si>
  <si>
    <t>اعلام</t>
  </si>
  <si>
    <t>تسويق</t>
  </si>
  <si>
    <t>ويب سايت</t>
  </si>
  <si>
    <t>مالي</t>
  </si>
  <si>
    <t>اقامة</t>
  </si>
  <si>
    <t>عبدالملك قاسم حميد العشاري</t>
  </si>
  <si>
    <t>جاهانجر عليم بيباري ميزانوس</t>
  </si>
  <si>
    <t>دجلب</t>
  </si>
  <si>
    <t>Feb,2024 staff salaries</t>
  </si>
  <si>
    <t>BANK</t>
  </si>
  <si>
    <t>صلاح عثمان سيد احمد عبدالمطلب</t>
  </si>
  <si>
    <t>قناوي فؤاد محمد عبدالرحمن</t>
  </si>
  <si>
    <t>يحيى محمد هشام لعل محمد</t>
  </si>
  <si>
    <t>فيصل عبد الرزاق بدر فياض</t>
  </si>
  <si>
    <t>نشوى محمد رضا السيد عمر عالية</t>
  </si>
  <si>
    <t>اشرف عبدالصبور</t>
  </si>
  <si>
    <t>نواف فاضل حسن فزع</t>
  </si>
  <si>
    <t>حمد زهير عبدالسلام الشيخ</t>
  </si>
  <si>
    <t>شيخه صباح سلمان شاهر</t>
  </si>
  <si>
    <t>عبير صباح سلمان شاهر</t>
  </si>
  <si>
    <t>نجمه صالح شريعه ماجد</t>
  </si>
  <si>
    <t>محمد عبدالرحمن احمد عبدالرحمن</t>
  </si>
  <si>
    <t>عمرو احمد عبدالله عبدالحافظ</t>
  </si>
  <si>
    <t>عبد النور محمد عبد الواحد قاسم</t>
  </si>
  <si>
    <t>وليد خالد عبدالنبي محمد</t>
  </si>
  <si>
    <t>ايمان احمد ابو المعاطي احمد الشعراوي</t>
  </si>
  <si>
    <t>أسماء عبد النبي ابراهيم السيد</t>
  </si>
  <si>
    <t>انور سعيد عسكر عوض</t>
  </si>
  <si>
    <t>BEC-000178</t>
  </si>
  <si>
    <t>BEC-000418</t>
  </si>
  <si>
    <t>BEC-000185</t>
  </si>
  <si>
    <t>BEC-000198</t>
  </si>
  <si>
    <t>BEC-000190</t>
  </si>
  <si>
    <t>BEC-000191</t>
  </si>
  <si>
    <t>BEC-000192</t>
  </si>
  <si>
    <t>BEC-000376</t>
  </si>
  <si>
    <t>BEC-000517</t>
  </si>
  <si>
    <t>BEC-000674</t>
  </si>
  <si>
    <t>BEC-000114</t>
  </si>
  <si>
    <t>BEC-000115</t>
  </si>
  <si>
    <t>BEC-001319</t>
  </si>
  <si>
    <t>BEC-001257</t>
  </si>
  <si>
    <t>BEC-001685</t>
  </si>
  <si>
    <t>BEC-001841</t>
  </si>
  <si>
    <t>BEC-001163</t>
  </si>
  <si>
    <t>BEC-001857</t>
  </si>
  <si>
    <t>BEC-001858</t>
  </si>
  <si>
    <t>BEC-001859</t>
  </si>
  <si>
    <t>BEC-001860</t>
  </si>
  <si>
    <t>BEC-000195</t>
  </si>
  <si>
    <t>BEC-000196</t>
  </si>
  <si>
    <t>BEC-001161</t>
  </si>
  <si>
    <t>BEC-001405</t>
  </si>
  <si>
    <t>CHQ</t>
  </si>
  <si>
    <t>PAYMENT METHOUD</t>
  </si>
  <si>
    <t>June 2024 Payroll Report</t>
  </si>
  <si>
    <t>طه فتحى عبدالعظيم محمد</t>
  </si>
  <si>
    <t xml:space="preserve">السيد على عطالله السيد </t>
  </si>
  <si>
    <t xml:space="preserve">عبد الرحمن عبد الحميد </t>
  </si>
  <si>
    <t xml:space="preserve">سالم مشعان النايف </t>
  </si>
  <si>
    <t>محمد سعيد كامل عتمان</t>
  </si>
  <si>
    <t>سافوج محمد فريد مياه</t>
  </si>
  <si>
    <t>رحيما بيجوم أم دي شابان مياه</t>
  </si>
  <si>
    <t>شيمه عادل بينه العجمي</t>
  </si>
  <si>
    <t>محمد سيد أحمد مراد</t>
  </si>
  <si>
    <t>سليمان عبد الحميد سليمان</t>
  </si>
  <si>
    <t>شادي ياسين أحمد الطراونة</t>
  </si>
  <si>
    <t>BEC-001976</t>
  </si>
  <si>
    <t>BTR</t>
  </si>
  <si>
    <t>July 2024 Payroll Report</t>
  </si>
  <si>
    <t>صبري سعيد محمود محمد</t>
  </si>
  <si>
    <t>فجر منصور غازي ظاهر</t>
  </si>
  <si>
    <t>ام دي محي الدين</t>
  </si>
  <si>
    <t>August 2024 Payroll Report</t>
  </si>
  <si>
    <t>BEC-000378</t>
  </si>
  <si>
    <t>BEC-000179</t>
  </si>
  <si>
    <t>BEC-000189</t>
  </si>
  <si>
    <t>BEC-000180</t>
  </si>
  <si>
    <t>BEC-000182</t>
  </si>
  <si>
    <t>BEC-000187</t>
  </si>
  <si>
    <t>BEC-001024</t>
  </si>
  <si>
    <t>BEC-000641</t>
  </si>
  <si>
    <t>BEC-001406</t>
  </si>
  <si>
    <t>BEC-000750</t>
  </si>
  <si>
    <t>BEC-000966</t>
  </si>
  <si>
    <t>BEC-001723</t>
  </si>
  <si>
    <t>BEC-000214</t>
  </si>
  <si>
    <t>BEC-001191</t>
  </si>
  <si>
    <t>BEC-001476</t>
  </si>
  <si>
    <t>BEC-001466</t>
  </si>
  <si>
    <t>BEC-001679</t>
  </si>
  <si>
    <t>BEC-001840</t>
  </si>
  <si>
    <t>BEC-002035</t>
  </si>
  <si>
    <t>BEC-002045</t>
  </si>
  <si>
    <t>BEC-001916</t>
  </si>
  <si>
    <t>BEC-001917</t>
  </si>
  <si>
    <t>BEC-001696</t>
  </si>
  <si>
    <t>BEC-002002</t>
  </si>
  <si>
    <t>BEC-002003</t>
  </si>
  <si>
    <t>BEC-000546</t>
  </si>
  <si>
    <t>BEC-001920</t>
  </si>
  <si>
    <t>BEC-001927</t>
  </si>
  <si>
    <t>BEC-002033</t>
  </si>
  <si>
    <t>BEC-002052</t>
  </si>
  <si>
    <t>BEC-002048</t>
  </si>
  <si>
    <t>BEC-002078</t>
  </si>
  <si>
    <t>BEC-002036</t>
  </si>
  <si>
    <t>مدخل بيانات</t>
  </si>
  <si>
    <t>ابو بكر سامي علي عبدالصبور</t>
  </si>
  <si>
    <t>BEC-002113</t>
  </si>
  <si>
    <t>BEC-002095</t>
  </si>
  <si>
    <t>BEC-002111</t>
  </si>
  <si>
    <t>درية محمد الدايداموني ابراهيم احمد</t>
  </si>
  <si>
    <t>أبوبكر سامي علي عبدالصبور</t>
  </si>
  <si>
    <t>حصة علي محمد عامر</t>
  </si>
  <si>
    <t>محمد محمود احمد ابراهيم</t>
  </si>
  <si>
    <t>BEC-002132</t>
  </si>
  <si>
    <t>BEC-002142</t>
  </si>
  <si>
    <t>BEC-002143</t>
  </si>
  <si>
    <t>January 2025 Payroll Report</t>
  </si>
  <si>
    <t>BANK TRANSFER</t>
  </si>
  <si>
    <t>DEPARTMENT</t>
  </si>
  <si>
    <t>BRANCH</t>
  </si>
  <si>
    <t>REFUND SALARY</t>
  </si>
  <si>
    <t>Prepared by:</t>
  </si>
  <si>
    <t>Checked by:</t>
  </si>
  <si>
    <t>Approved by:</t>
  </si>
  <si>
    <t>اقامة فقط</t>
  </si>
  <si>
    <t>جمعية بصائر الخيرية  Basaier Charity</t>
  </si>
  <si>
    <t>Paid leave Days
اجازات مدفوعة</t>
  </si>
  <si>
    <t>February 2025 Payroll Report</t>
  </si>
  <si>
    <t>Bank trandfer</t>
  </si>
  <si>
    <t>Check</t>
  </si>
  <si>
    <t>Method of payment</t>
  </si>
  <si>
    <t>حولي</t>
  </si>
  <si>
    <t xml:space="preserve">صباح الأحمد </t>
  </si>
  <si>
    <t>مكتب المدير العام</t>
  </si>
  <si>
    <t>الفردوس</t>
  </si>
  <si>
    <t xml:space="preserve">أدارة المشاريع الخارجية </t>
  </si>
  <si>
    <t>مكتب رئيس مجلس الادارة</t>
  </si>
  <si>
    <t>إدارة الدعوة والتعليم</t>
  </si>
  <si>
    <t xml:space="preserve">مركز الامل </t>
  </si>
  <si>
    <t>إدارة حلقات التحفيظ</t>
  </si>
  <si>
    <t>حولى</t>
  </si>
  <si>
    <t>إدارة الموارد البشرية</t>
  </si>
  <si>
    <t xml:space="preserve">إدارة المشاريع الخارجية </t>
  </si>
  <si>
    <t>غرب عبدالله المبارك</t>
  </si>
  <si>
    <t>إدارة غرب عبدالله المبارك</t>
  </si>
  <si>
    <t xml:space="preserve">إدارة الشئون الاعلامية </t>
  </si>
  <si>
    <t>إدارة العلاقات العامة</t>
  </si>
  <si>
    <t>إدارة الافرع</t>
  </si>
  <si>
    <t>أم الهيمان</t>
  </si>
  <si>
    <t xml:space="preserve">إدارة مركز حفصة </t>
  </si>
  <si>
    <t>الرئيسي</t>
  </si>
  <si>
    <t>إدارة المشاريع الموسمية</t>
  </si>
  <si>
    <t>إدارة مركز الامل</t>
  </si>
  <si>
    <t xml:space="preserve">مسجد بتله </t>
  </si>
  <si>
    <t xml:space="preserve">إدارة المراكز الشبابية </t>
  </si>
  <si>
    <t xml:space="preserve">الادارة العامة </t>
  </si>
  <si>
    <t>ادارة المشاريع الموسمية</t>
  </si>
  <si>
    <t>إدارة الموارد المالية</t>
  </si>
  <si>
    <t>The amount scheduled to pay</t>
  </si>
  <si>
    <t>Bank transfer</t>
  </si>
  <si>
    <t>12.1.2017</t>
  </si>
  <si>
    <t>21.10.2018</t>
  </si>
  <si>
    <t>18.11.2019</t>
  </si>
  <si>
    <t>13.5.2018</t>
  </si>
  <si>
    <t>1.8.2021</t>
  </si>
  <si>
    <t>20.8.2020</t>
  </si>
  <si>
    <t>11.1.2021</t>
  </si>
  <si>
    <t>1.7.2021</t>
  </si>
  <si>
    <t>26.1.2012</t>
  </si>
  <si>
    <t>16.9.2012</t>
  </si>
  <si>
    <t>2.12.2023</t>
  </si>
  <si>
    <t>1.2.2024</t>
  </si>
  <si>
    <t>25.9.2023</t>
  </si>
  <si>
    <t>17.9.2023</t>
  </si>
  <si>
    <t>1.8.2023</t>
  </si>
  <si>
    <t>5.12.2019</t>
  </si>
  <si>
    <t>1.9.2022</t>
  </si>
  <si>
    <t xml:space="preserve">غدير صباح  سلمان شاهر </t>
  </si>
  <si>
    <t>1.3.2025</t>
  </si>
  <si>
    <t>VEN-000231</t>
  </si>
  <si>
    <t>15.8.2018</t>
  </si>
  <si>
    <t>25.11.2023</t>
  </si>
  <si>
    <t>31.10.2021</t>
  </si>
  <si>
    <t>13.10.2021</t>
  </si>
  <si>
    <t>BEC-000000</t>
  </si>
  <si>
    <t>16.9.2024</t>
  </si>
  <si>
    <t>13.11.2024</t>
  </si>
  <si>
    <t>June 2026 Payroll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</si>
</sst>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_);[Red]\(#,##0.000\)"/>
    <numFmt numFmtId="165" formatCode="0.000"/>
    <numFmt numFmtId="166" formatCode="yyyy\-mm\-dd;@"/>
  </numFmts>
  <fonts count="3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2060"/>
      <name val="Microsoft Sans Serif"/>
      <family val="2"/>
    </font>
    <font>
      <b/>
      <u/>
      <sz val="2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3320EC"/>
      <name val="Times New Roman"/>
      <family val="1"/>
    </font>
    <font>
      <b/>
      <sz val="16"/>
      <name val="Microsoft Sans Serif"/>
      <family val="2"/>
    </font>
    <font>
      <sz val="11"/>
      <name val="Times New Roman"/>
      <family val="1"/>
    </font>
    <font>
      <b/>
      <sz val="22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4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3" fillId="0" borderId="0" xfId="0" applyFont="1"/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8" fillId="3" borderId="0" xfId="0" applyFont="1" applyFill="1"/>
    <xf numFmtId="0" fontId="6" fillId="3" borderId="17" xfId="0" applyFont="1" applyFill="1" applyBorder="1" applyAlignment="1">
      <alignment horizontal="left" vertical="center" wrapText="1" readingOrder="2"/>
    </xf>
    <xf numFmtId="0" fontId="2" fillId="3" borderId="17" xfId="0" applyFont="1" applyFill="1" applyBorder="1" applyAlignment="1">
      <alignment horizontal="left" vertical="center" wrapText="1" readingOrder="2"/>
    </xf>
    <xf numFmtId="166" fontId="2" fillId="3" borderId="6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/>
    </xf>
    <xf numFmtId="49" fontId="15" fillId="3" borderId="6" xfId="0" applyNumberFormat="1" applyFont="1" applyFill="1" applyBorder="1" applyAlignment="1">
      <alignment horizontal="center" vertical="center"/>
    </xf>
    <xf numFmtId="165" fontId="17" fillId="3" borderId="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164" fontId="2" fillId="3" borderId="24" xfId="0" applyNumberFormat="1" applyFont="1" applyFill="1" applyBorder="1" applyAlignment="1">
      <alignment horizontal="center" vertical="center" wrapText="1"/>
    </xf>
    <xf numFmtId="164" fontId="2" fillId="3" borderId="25" xfId="0" applyNumberFormat="1" applyFont="1" applyFill="1" applyBorder="1" applyAlignment="1">
      <alignment horizontal="center" vertical="center" wrapText="1"/>
    </xf>
    <xf numFmtId="164" fontId="2" fillId="3" borderId="28" xfId="0" applyNumberFormat="1" applyFont="1" applyFill="1" applyBorder="1" applyAlignment="1">
      <alignment horizontal="center" vertical="center"/>
    </xf>
    <xf numFmtId="164" fontId="14" fillId="2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166" fontId="2" fillId="3" borderId="18" xfId="0" applyNumberFormat="1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164" fontId="2" fillId="3" borderId="18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166" fontId="2" fillId="3" borderId="21" xfId="0" applyNumberFormat="1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164" fontId="2" fillId="3" borderId="21" xfId="0" applyNumberFormat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164" fontId="2" fillId="3" borderId="31" xfId="0" applyNumberFormat="1" applyFont="1" applyFill="1" applyBorder="1" applyAlignment="1">
      <alignment horizontal="center" vertical="center" wrapText="1"/>
    </xf>
    <xf numFmtId="164" fontId="2" fillId="3" borderId="32" xfId="0" applyNumberFormat="1" applyFont="1" applyFill="1" applyBorder="1" applyAlignment="1">
      <alignment horizontal="center" vertical="center" wrapText="1"/>
    </xf>
    <xf numFmtId="164" fontId="2" fillId="3" borderId="23" xfId="0" applyNumberFormat="1" applyFont="1" applyFill="1" applyBorder="1" applyAlignment="1">
      <alignment horizontal="center" vertical="center" wrapText="1"/>
    </xf>
    <xf numFmtId="164" fontId="2" fillId="3" borderId="20" xfId="0" applyNumberFormat="1" applyFont="1" applyFill="1" applyBorder="1" applyAlignment="1">
      <alignment horizontal="center" vertical="center" wrapText="1"/>
    </xf>
    <xf numFmtId="164" fontId="2" fillId="3" borderId="26" xfId="0" applyNumberFormat="1" applyFont="1" applyFill="1" applyBorder="1" applyAlignment="1">
      <alignment horizontal="center" vertical="center" wrapText="1"/>
    </xf>
    <xf numFmtId="164" fontId="2" fillId="3" borderId="27" xfId="0" applyNumberFormat="1" applyFont="1" applyFill="1" applyBorder="1" applyAlignment="1">
      <alignment horizontal="center" vertical="center" wrapText="1"/>
    </xf>
    <xf numFmtId="164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wrapText="1"/>
    </xf>
    <xf numFmtId="0" fontId="15" fillId="3" borderId="10" xfId="0" applyFont="1" applyFill="1" applyBorder="1" applyAlignment="1">
      <alignment wrapText="1"/>
    </xf>
    <xf numFmtId="0" fontId="15" fillId="3" borderId="10" xfId="0" applyFont="1" applyFill="1" applyBorder="1" applyAlignment="1">
      <alignment wrapText="1" readingOrder="2"/>
    </xf>
    <xf numFmtId="0" fontId="15" fillId="0" borderId="35" xfId="0" applyFont="1" applyBorder="1" applyAlignment="1">
      <alignment wrapText="1"/>
    </xf>
    <xf numFmtId="0" fontId="1" fillId="3" borderId="18" xfId="0" applyFont="1" applyFill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4" fontId="16" fillId="3" borderId="18" xfId="0" applyNumberFormat="1" applyFont="1" applyFill="1" applyBorder="1" applyAlignment="1">
      <alignment horizontal="center" vertical="center" wrapText="1"/>
    </xf>
    <xf numFmtId="164" fontId="2" fillId="3" borderId="17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right" vertical="center" wrapText="1" readingOrder="2"/>
    </xf>
    <xf numFmtId="49" fontId="1" fillId="3" borderId="6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 readingOrder="2"/>
    </xf>
    <xf numFmtId="0" fontId="1" fillId="3" borderId="21" xfId="0" applyFont="1" applyFill="1" applyBorder="1" applyAlignment="1">
      <alignment horizontal="center" vertical="center"/>
    </xf>
    <xf numFmtId="49" fontId="1" fillId="3" borderId="21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4" fontId="2" fillId="3" borderId="29" xfId="0" applyNumberFormat="1" applyFont="1" applyFill="1" applyBorder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19" fillId="2" borderId="12" xfId="0" applyNumberFormat="1" applyFont="1" applyFill="1" applyBorder="1" applyAlignment="1">
      <alignment horizontal="center" vertical="center"/>
    </xf>
    <xf numFmtId="165" fontId="8" fillId="2" borderId="12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0" fontId="21" fillId="0" borderId="0" xfId="0" applyFont="1"/>
    <xf numFmtId="164" fontId="7" fillId="3" borderId="20" xfId="0" applyNumberFormat="1" applyFont="1" applyFill="1" applyBorder="1" applyAlignment="1">
      <alignment horizontal="center" vertical="center" wrapText="1"/>
    </xf>
    <xf numFmtId="164" fontId="7" fillId="3" borderId="25" xfId="0" applyNumberFormat="1" applyFont="1" applyFill="1" applyBorder="1" applyAlignment="1">
      <alignment horizontal="center" vertical="center" wrapText="1"/>
    </xf>
    <xf numFmtId="164" fontId="7" fillId="3" borderId="27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6" borderId="0" xfId="0" applyFont="1" applyFill="1"/>
    <xf numFmtId="0" fontId="2" fillId="6" borderId="21" xfId="0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6" fontId="2" fillId="6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164" fontId="2" fillId="6" borderId="24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 vertical="center"/>
    </xf>
    <xf numFmtId="164" fontId="7" fillId="6" borderId="25" xfId="0" applyNumberFormat="1" applyFont="1" applyFill="1" applyBorder="1" applyAlignment="1">
      <alignment horizontal="center" vertical="center" wrapText="1"/>
    </xf>
    <xf numFmtId="164" fontId="2" fillId="6" borderId="25" xfId="0" applyNumberFormat="1" applyFont="1" applyFill="1" applyBorder="1" applyAlignment="1">
      <alignment horizontal="center" vertical="center" wrapText="1"/>
    </xf>
    <xf numFmtId="164" fontId="2" fillId="6" borderId="28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left" vertical="center" wrapText="1" readingOrder="2"/>
    </xf>
    <xf numFmtId="0" fontId="1" fillId="6" borderId="30" xfId="0" applyFont="1" applyFill="1" applyBorder="1" applyAlignment="1">
      <alignment horizontal="center" vertical="center"/>
    </xf>
    <xf numFmtId="166" fontId="2" fillId="6" borderId="30" xfId="0" applyNumberFormat="1" applyFont="1" applyFill="1" applyBorder="1" applyAlignment="1">
      <alignment horizontal="center" vertical="center" wrapText="1"/>
    </xf>
    <xf numFmtId="49" fontId="1" fillId="6" borderId="30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 wrapText="1"/>
    </xf>
    <xf numFmtId="164" fontId="2" fillId="6" borderId="26" xfId="0" applyNumberFormat="1" applyFont="1" applyFill="1" applyBorder="1" applyAlignment="1">
      <alignment horizontal="center" vertical="center" wrapText="1"/>
    </xf>
    <xf numFmtId="164" fontId="2" fillId="6" borderId="21" xfId="0" applyNumberFormat="1" applyFont="1" applyFill="1" applyBorder="1" applyAlignment="1">
      <alignment horizontal="center" vertical="center" wrapText="1"/>
    </xf>
    <xf numFmtId="165" fontId="10" fillId="6" borderId="21" xfId="0" applyNumberFormat="1" applyFont="1" applyFill="1" applyBorder="1" applyAlignment="1">
      <alignment horizontal="center" vertical="center"/>
    </xf>
    <xf numFmtId="164" fontId="7" fillId="6" borderId="27" xfId="0" applyNumberFormat="1" applyFont="1" applyFill="1" applyBorder="1" applyAlignment="1">
      <alignment horizontal="center" vertical="center" wrapText="1"/>
    </xf>
    <xf numFmtId="164" fontId="2" fillId="6" borderId="27" xfId="0" applyNumberFormat="1" applyFont="1" applyFill="1" applyBorder="1" applyAlignment="1">
      <alignment horizontal="center" vertical="center" wrapText="1"/>
    </xf>
    <xf numFmtId="164" fontId="2" fillId="6" borderId="29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left" vertical="center" wrapText="1" readingOrder="2"/>
    </xf>
    <xf numFmtId="0" fontId="6" fillId="3" borderId="3" xfId="0" applyFont="1" applyFill="1" applyBorder="1" applyAlignment="1">
      <alignment horizontal="left" vertical="center" wrapText="1" readingOrder="1"/>
    </xf>
    <xf numFmtId="164" fontId="2" fillId="5" borderId="21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166" fontId="2" fillId="3" borderId="10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164" fontId="15" fillId="3" borderId="10" xfId="0" applyNumberFormat="1" applyFont="1" applyFill="1" applyBorder="1" applyAlignment="1">
      <alignment wrapText="1" readingOrder="2"/>
    </xf>
    <xf numFmtId="165" fontId="15" fillId="3" borderId="10" xfId="0" applyNumberFormat="1" applyFont="1" applyFill="1" applyBorder="1" applyAlignment="1">
      <alignment wrapText="1" readingOrder="2"/>
    </xf>
    <xf numFmtId="0" fontId="1" fillId="0" borderId="10" xfId="0" applyFont="1" applyBorder="1" applyAlignment="1">
      <alignment horizontal="center" vertical="center" wrapText="1"/>
    </xf>
    <xf numFmtId="166" fontId="6" fillId="3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64" fontId="0" fillId="0" borderId="0" xfId="0" applyNumberFormat="1"/>
    <xf numFmtId="164" fontId="1" fillId="7" borderId="5" xfId="0" applyNumberFormat="1" applyFont="1" applyFill="1" applyBorder="1" applyAlignment="1">
      <alignment horizontal="center" vertical="center"/>
    </xf>
    <xf numFmtId="0" fontId="15" fillId="3" borderId="39" xfId="0" applyFont="1" applyFill="1" applyBorder="1" applyAlignment="1">
      <alignment wrapText="1" readingOrder="2"/>
    </xf>
    <xf numFmtId="164" fontId="2" fillId="7" borderId="10" xfId="0" applyNumberFormat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166" fontId="6" fillId="3" borderId="39" xfId="0" applyNumberFormat="1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 wrapText="1"/>
    </xf>
    <xf numFmtId="164" fontId="2" fillId="3" borderId="39" xfId="0" applyNumberFormat="1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166" fontId="6" fillId="3" borderId="40" xfId="0" applyNumberFormat="1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 wrapText="1"/>
    </xf>
    <xf numFmtId="164" fontId="2" fillId="3" borderId="40" xfId="0" applyNumberFormat="1" applyFont="1" applyFill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166" fontId="2" fillId="3" borderId="35" xfId="0" applyNumberFormat="1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 wrapText="1"/>
    </xf>
    <xf numFmtId="164" fontId="2" fillId="3" borderId="35" xfId="0" applyNumberFormat="1" applyFont="1" applyFill="1" applyBorder="1" applyAlignment="1">
      <alignment horizontal="center" vertical="center"/>
    </xf>
    <xf numFmtId="166" fontId="20" fillId="2" borderId="14" xfId="0" applyNumberFormat="1" applyFont="1" applyFill="1" applyBorder="1" applyAlignment="1">
      <alignment horizontal="center" vertical="center" wrapText="1"/>
    </xf>
    <xf numFmtId="164" fontId="23" fillId="3" borderId="10" xfId="0" applyNumberFormat="1" applyFont="1" applyFill="1" applyBorder="1" applyAlignment="1">
      <alignment horizontal="center" vertical="center" wrapText="1"/>
    </xf>
    <xf numFmtId="164" fontId="24" fillId="2" borderId="5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40" fontId="2" fillId="3" borderId="10" xfId="0" applyNumberFormat="1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wrapText="1" readingOrder="2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21" fillId="0" borderId="0" xfId="0" applyFont="1" applyAlignment="1">
      <alignment vertical="justify"/>
    </xf>
    <xf numFmtId="0" fontId="1" fillId="7" borderId="10" xfId="0" applyFont="1" applyFill="1" applyBorder="1" applyAlignment="1">
      <alignment horizontal="center" vertical="center" wrapText="1"/>
    </xf>
    <xf numFmtId="166" fontId="6" fillId="7" borderId="10" xfId="0" applyNumberFormat="1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164" fontId="2" fillId="7" borderId="10" xfId="0" applyNumberFormat="1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165" fontId="25" fillId="0" borderId="0" xfId="0" applyNumberFormat="1" applyFont="1"/>
    <xf numFmtId="0" fontId="23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6" fontId="23" fillId="3" borderId="10" xfId="0" applyNumberFormat="1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164" fontId="23" fillId="3" borderId="10" xfId="0" applyNumberFormat="1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wrapText="1" readingOrder="2"/>
    </xf>
    <xf numFmtId="0" fontId="27" fillId="0" borderId="0" xfId="0" applyFont="1"/>
    <xf numFmtId="165" fontId="28" fillId="0" borderId="0" xfId="0" applyNumberFormat="1" applyFont="1"/>
    <xf numFmtId="164" fontId="27" fillId="0" borderId="0" xfId="0" applyNumberFormat="1" applyFont="1"/>
    <xf numFmtId="0" fontId="24" fillId="7" borderId="10" xfId="0" applyFont="1" applyFill="1" applyBorder="1" applyAlignment="1">
      <alignment horizontal="center" vertical="center" wrapText="1"/>
    </xf>
    <xf numFmtId="166" fontId="23" fillId="7" borderId="10" xfId="0" applyNumberFormat="1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 wrapText="1"/>
    </xf>
    <xf numFmtId="164" fontId="23" fillId="7" borderId="10" xfId="0" applyNumberFormat="1" applyFont="1" applyFill="1" applyBorder="1" applyAlignment="1">
      <alignment horizontal="center" vertical="center" wrapText="1"/>
    </xf>
    <xf numFmtId="164" fontId="23" fillId="7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164" fontId="6" fillId="3" borderId="10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3" borderId="10" xfId="0" applyFont="1" applyFill="1" applyBorder="1" applyAlignment="1">
      <alignment wrapText="1" readingOrder="2"/>
    </xf>
    <xf numFmtId="1" fontId="15" fillId="0" borderId="10" xfId="0" applyNumberFormat="1" applyFont="1" applyBorder="1" applyAlignment="1">
      <alignment horizontal="center" vertical="center"/>
    </xf>
    <xf numFmtId="166" fontId="6" fillId="3" borderId="4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0" fillId="2" borderId="41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164" fontId="6" fillId="3" borderId="39" xfId="0" applyNumberFormat="1" applyFont="1" applyFill="1" applyBorder="1" applyAlignment="1">
      <alignment horizontal="center" vertical="center" wrapText="1"/>
    </xf>
    <xf numFmtId="164" fontId="6" fillId="3" borderId="40" xfId="0" applyNumberFormat="1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vertical="center" wrapText="1"/>
    </xf>
    <xf numFmtId="0" fontId="20" fillId="3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166" fontId="30" fillId="3" borderId="10" xfId="0" applyNumberFormat="1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 wrapText="1"/>
    </xf>
    <xf numFmtId="164" fontId="20" fillId="3" borderId="10" xfId="0" applyNumberFormat="1" applyFont="1" applyFill="1" applyBorder="1" applyAlignment="1">
      <alignment horizontal="center" vertical="center" wrapText="1"/>
    </xf>
    <xf numFmtId="164" fontId="30" fillId="3" borderId="10" xfId="0" applyNumberFormat="1" applyFont="1" applyFill="1" applyBorder="1" applyAlignment="1">
      <alignment horizontal="center" vertical="center" wrapText="1"/>
    </xf>
    <xf numFmtId="164" fontId="20" fillId="3" borderId="10" xfId="0" applyNumberFormat="1" applyFont="1" applyFill="1" applyBorder="1" applyAlignment="1">
      <alignment horizontal="center" vertical="center"/>
    </xf>
    <xf numFmtId="164" fontId="20" fillId="3" borderId="41" xfId="0" applyNumberFormat="1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wrapText="1" readingOrder="2"/>
    </xf>
    <xf numFmtId="0" fontId="26" fillId="0" borderId="10" xfId="0" applyFont="1" applyBorder="1" applyAlignment="1">
      <alignment horizontal="center" vertical="center" wrapText="1"/>
    </xf>
    <xf numFmtId="164" fontId="20" fillId="7" borderId="10" xfId="0" applyNumberFormat="1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1" fontId="31" fillId="0" borderId="10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166" fontId="20" fillId="8" borderId="42" xfId="0" applyNumberFormat="1" applyFont="1" applyFill="1" applyBorder="1" applyAlignment="1">
      <alignment horizontal="center" vertical="center" wrapText="1"/>
    </xf>
    <xf numFmtId="0" fontId="26" fillId="2" borderId="12" xfId="0" applyFont="1" applyFill="1" applyBorder="1" applyAlignment="1">
      <alignment vertical="center"/>
    </xf>
    <xf numFmtId="164" fontId="26" fillId="2" borderId="5" xfId="0" applyNumberFormat="1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 wrapText="1"/>
    </xf>
    <xf numFmtId="0" fontId="32" fillId="3" borderId="10" xfId="0" applyFont="1" applyFill="1" applyBorder="1" applyAlignment="1">
      <alignment wrapText="1" readingOrder="2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 wrapText="1"/>
    </xf>
    <xf numFmtId="166" fontId="20" fillId="2" borderId="14" xfId="0" applyNumberFormat="1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6" fontId="2" fillId="2" borderId="4" xfId="0" applyNumberFormat="1" applyFont="1" applyFill="1" applyBorder="1" applyAlignment="1">
      <alignment horizontal="center" vertical="center" wrapText="1"/>
    </xf>
    <xf numFmtId="166" fontId="2" fillId="2" borderId="14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166" fontId="20" fillId="2" borderId="4" xfId="0" applyNumberFormat="1" applyFont="1" applyFill="1" applyBorder="1" applyAlignment="1">
      <alignment horizontal="center" vertical="center" wrapText="1"/>
    </xf>
    <xf numFmtId="166" fontId="20" fillId="2" borderId="4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66" fontId="2" fillId="8" borderId="42" xfId="0" applyNumberFormat="1" applyFont="1" applyFill="1" applyBorder="1" applyAlignment="1">
      <alignment horizontal="center" vertical="center" wrapText="1"/>
    </xf>
    <xf numFmtId="166" fontId="2" fillId="8" borderId="33" xfId="0" applyNumberFormat="1" applyFont="1" applyFill="1" applyBorder="1" applyAlignment="1">
      <alignment horizontal="center" vertical="center" wrapText="1"/>
    </xf>
    <xf numFmtId="166" fontId="2" fillId="8" borderId="28" xfId="0" applyNumberFormat="1" applyFont="1" applyFill="1" applyBorder="1" applyAlignment="1">
      <alignment horizontal="center" vertical="center" wrapText="1"/>
    </xf>
    <xf numFmtId="166" fontId="2" fillId="3" borderId="42" xfId="0" applyNumberFormat="1" applyFont="1" applyFill="1" applyBorder="1" applyAlignment="1">
      <alignment horizontal="center" vertical="center" wrapText="1"/>
    </xf>
    <xf numFmtId="166" fontId="2" fillId="3" borderId="33" xfId="0" applyNumberFormat="1" applyFont="1" applyFill="1" applyBorder="1" applyAlignment="1">
      <alignment horizontal="center" vertical="center" wrapText="1"/>
    </xf>
    <xf numFmtId="166" fontId="2" fillId="3" borderId="28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20EC"/>
      <color rgb="FFDADF03"/>
      <color rgb="FFF9FD5F"/>
      <color rgb="FFFCFEB8"/>
      <color rgb="FFE9EF03"/>
      <color rgb="FFE5EB03"/>
      <color rgb="FFD0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ENOVO/Downloads/Journal%20lines_638632108781621152.xlsx" TargetMode="External"/><Relationship Id="rId2" Type="http://schemas.openxmlformats.org/officeDocument/2006/relationships/externalLinkPath" Target="file:///C:\Users\LENOVO\Downloads\Journal%20lines_638632108781621152.xlsx" TargetMode="External"/><Relationship Id="rId1" Type="http://schemas.openxmlformats.org/officeDocument/2006/relationships/externalLinkPath" Target="/Users/LENOVO/Downloads/Journal%20lines_63863210878162115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E1" t="str">
            <v>Account</v>
          </cell>
          <cell r="F1" t="str">
            <v>Financial tags</v>
          </cell>
          <cell r="G1" t="str">
            <v>Description</v>
          </cell>
          <cell r="H1" t="str">
            <v>Debit</v>
          </cell>
          <cell r="I1" t="str">
            <v>Credit</v>
          </cell>
          <cell r="J1" t="str">
            <v>Offset company</v>
          </cell>
        </row>
        <row r="2">
          <cell r="E2" t="str">
            <v>301100000- مقر الجمعية-003</v>
          </cell>
          <cell r="F2" t="e">
            <v>#N/A</v>
          </cell>
          <cell r="G2" t="str">
            <v>راتب سبتمبر 2024</v>
          </cell>
          <cell r="H2">
            <v>410</v>
          </cell>
          <cell r="I2">
            <v>0</v>
          </cell>
          <cell r="J2" t="str">
            <v>bec</v>
          </cell>
        </row>
        <row r="3">
          <cell r="E3" t="str">
            <v>BEC-000178</v>
          </cell>
          <cell r="F3" t="str">
            <v>صلاح عثمان سيد احمد عبدالمطلب</v>
          </cell>
          <cell r="G3" t="str">
            <v>زيادة راتب سبتمبر 2024</v>
          </cell>
          <cell r="H3">
            <v>390</v>
          </cell>
          <cell r="I3">
            <v>0</v>
          </cell>
          <cell r="J3"/>
        </row>
        <row r="4">
          <cell r="E4" t="str">
            <v>BEC-000178</v>
          </cell>
          <cell r="F4" t="str">
            <v>صلاح عثمان سيد احمد عبدالمطلب</v>
          </cell>
          <cell r="G4" t="str">
            <v>راتب سبتمبر 2024</v>
          </cell>
          <cell r="H4">
            <v>0</v>
          </cell>
          <cell r="I4">
            <v>800</v>
          </cell>
          <cell r="J4">
            <v>410</v>
          </cell>
        </row>
        <row r="5">
          <cell r="E5" t="str">
            <v>301100000-  المقر الرئيسي-01</v>
          </cell>
          <cell r="F5" t="e">
            <v>#N/A</v>
          </cell>
          <cell r="G5" t="str">
            <v>راتب  سبتمبر 2024 ( قناوي )</v>
          </cell>
          <cell r="H5">
            <v>240</v>
          </cell>
          <cell r="I5">
            <v>0</v>
          </cell>
          <cell r="J5" t="str">
            <v>bec</v>
          </cell>
        </row>
        <row r="6">
          <cell r="E6" t="str">
            <v>BEC-000418</v>
          </cell>
          <cell r="F6" t="str">
            <v>قناوي فؤاد محمد عبدالرحمن</v>
          </cell>
          <cell r="G6" t="str">
            <v>راتب قناوي سبتمبر 2024 بعد خصم قسط السلفة</v>
          </cell>
          <cell r="H6">
            <v>0</v>
          </cell>
          <cell r="I6">
            <v>198</v>
          </cell>
          <cell r="J6">
            <v>189.99999999999997</v>
          </cell>
        </row>
        <row r="7">
          <cell r="E7" t="str">
            <v>112300002</v>
          </cell>
          <cell r="F7" t="e">
            <v>#N/A</v>
          </cell>
          <cell r="G7" t="str">
            <v>قسط سلفة قناوي عن سبتمبر 2024</v>
          </cell>
          <cell r="H7">
            <v>0</v>
          </cell>
          <cell r="I7">
            <v>42</v>
          </cell>
          <cell r="J7" t="str">
            <v>bec</v>
          </cell>
        </row>
        <row r="8">
          <cell r="E8" t="str">
            <v>BEC-000185</v>
          </cell>
          <cell r="F8" t="str">
            <v>سمير حسين محمد جنيدي</v>
          </cell>
          <cell r="G8" t="str">
            <v>راتب سبتمبر 2024</v>
          </cell>
          <cell r="H8">
            <v>0</v>
          </cell>
          <cell r="I8">
            <v>370</v>
          </cell>
          <cell r="J8">
            <v>370</v>
          </cell>
        </row>
        <row r="9">
          <cell r="E9" t="str">
            <v>BEC-000198</v>
          </cell>
          <cell r="F9" t="str">
            <v>سهام محمد سعود بتال</v>
          </cell>
          <cell r="G9" t="str">
            <v>راتب سبتمبر 2024</v>
          </cell>
          <cell r="H9">
            <v>0</v>
          </cell>
          <cell r="I9">
            <v>200</v>
          </cell>
          <cell r="J9">
            <v>200</v>
          </cell>
        </row>
        <row r="10">
          <cell r="E10" t="str">
            <v>BEC-000190</v>
          </cell>
          <cell r="F10" t="str">
            <v>يحيى محمد هشام لعل محمد</v>
          </cell>
          <cell r="G10" t="str">
            <v>راتب سبتمبر 2024</v>
          </cell>
          <cell r="H10">
            <v>0</v>
          </cell>
          <cell r="I10">
            <v>430</v>
          </cell>
          <cell r="J10">
            <v>430.00000000000006</v>
          </cell>
        </row>
        <row r="11">
          <cell r="E11" t="str">
            <v>301100000-  المقر الرئيسي-</v>
          </cell>
          <cell r="F11" t="e">
            <v>#N/A</v>
          </cell>
          <cell r="G11" t="str">
            <v>راتب سبتمبر 2024</v>
          </cell>
          <cell r="H11">
            <v>450</v>
          </cell>
          <cell r="I11">
            <v>0</v>
          </cell>
          <cell r="J11" t="str">
            <v>bec</v>
          </cell>
        </row>
        <row r="12">
          <cell r="E12" t="str">
            <v>BEC-000191</v>
          </cell>
          <cell r="F12" t="str">
            <v>فيصل عبد الرزاق بدر فياض</v>
          </cell>
          <cell r="G12" t="str">
            <v>صافى الراتب بعد خصم قسط السلفة  سبتمبر 2024</v>
          </cell>
          <cell r="H12">
            <v>0</v>
          </cell>
          <cell r="I12">
            <v>400</v>
          </cell>
          <cell r="J12">
            <v>400</v>
          </cell>
        </row>
        <row r="13">
          <cell r="E13" t="str">
            <v>112300005</v>
          </cell>
          <cell r="F13" t="e">
            <v>#N/A</v>
          </cell>
          <cell r="G13" t="str">
            <v>قسط السلفة عن شهر  سبتمبر 2024</v>
          </cell>
          <cell r="H13">
            <v>0</v>
          </cell>
          <cell r="I13">
            <v>50</v>
          </cell>
          <cell r="J13" t="str">
            <v>bec</v>
          </cell>
        </row>
        <row r="14">
          <cell r="E14" t="str">
            <v>BEC-000192</v>
          </cell>
          <cell r="F14" t="str">
            <v>نشوى محمد رضا السيد عمر عالية</v>
          </cell>
          <cell r="G14" t="str">
            <v>راتب سبتمبر 2024</v>
          </cell>
          <cell r="H14">
            <v>0</v>
          </cell>
          <cell r="I14">
            <v>600</v>
          </cell>
          <cell r="J14">
            <v>600</v>
          </cell>
        </row>
        <row r="15">
          <cell r="E15" t="str">
            <v>BEC-000376</v>
          </cell>
          <cell r="F15" t="str">
            <v xml:space="preserve">أشرف عبد الصبور </v>
          </cell>
          <cell r="G15" t="str">
            <v>راتب سبتمبر 2024</v>
          </cell>
          <cell r="H15">
            <v>0</v>
          </cell>
          <cell r="I15">
            <v>300</v>
          </cell>
          <cell r="J15">
            <v>300</v>
          </cell>
        </row>
        <row r="16">
          <cell r="E16" t="str">
            <v>BEC-000517</v>
          </cell>
          <cell r="F16" t="str">
            <v>نواف فاضل حسن فزع</v>
          </cell>
          <cell r="G16" t="str">
            <v>راتب سبتمبر 2024</v>
          </cell>
          <cell r="H16">
            <v>0</v>
          </cell>
          <cell r="I16">
            <v>250</v>
          </cell>
          <cell r="J16">
            <v>250</v>
          </cell>
        </row>
        <row r="17">
          <cell r="E17" t="str">
            <v>BEC-000674</v>
          </cell>
          <cell r="F17" t="str">
            <v>حمد زهير عبدالسلام الشيخ</v>
          </cell>
          <cell r="G17" t="str">
            <v>راتب سبتمبر 2024</v>
          </cell>
          <cell r="H17">
            <v>0</v>
          </cell>
          <cell r="I17">
            <v>300</v>
          </cell>
          <cell r="J17">
            <v>300</v>
          </cell>
        </row>
        <row r="18">
          <cell r="E18" t="str">
            <v>BEC-000114</v>
          </cell>
          <cell r="F18" t="str">
            <v>شيخه صباح سلمان شاهر</v>
          </cell>
          <cell r="G18" t="str">
            <v>راتب سبتمبر 2024</v>
          </cell>
          <cell r="H18">
            <v>0</v>
          </cell>
          <cell r="I18">
            <v>150</v>
          </cell>
          <cell r="J18">
            <v>150</v>
          </cell>
        </row>
        <row r="19">
          <cell r="E19" t="str">
            <v>BEC-000115</v>
          </cell>
          <cell r="F19" t="str">
            <v>عبير صباح سلمان شاهر</v>
          </cell>
          <cell r="G19" t="str">
            <v>راتب سبتمبر 2024</v>
          </cell>
          <cell r="H19">
            <v>0</v>
          </cell>
          <cell r="I19">
            <v>150</v>
          </cell>
          <cell r="J19">
            <v>150</v>
          </cell>
        </row>
        <row r="20">
          <cell r="E20" t="str">
            <v>BEC-001319</v>
          </cell>
          <cell r="F20" t="str">
            <v>نجمه صالح شريعه ماجد</v>
          </cell>
          <cell r="G20" t="str">
            <v>راتب سبتمبر 2024</v>
          </cell>
          <cell r="H20">
            <v>0</v>
          </cell>
          <cell r="I20">
            <v>150</v>
          </cell>
          <cell r="J20">
            <v>150</v>
          </cell>
        </row>
        <row r="21">
          <cell r="E21" t="str">
            <v>BEC-001685</v>
          </cell>
          <cell r="F21" t="str">
            <v xml:space="preserve">عمرو أحمد عبد الله عبد الحافظ </v>
          </cell>
          <cell r="G21" t="str">
            <v>راتب سبتمبر 2024</v>
          </cell>
          <cell r="H21">
            <v>0</v>
          </cell>
          <cell r="I21">
            <v>270</v>
          </cell>
          <cell r="J21">
            <v>270</v>
          </cell>
        </row>
        <row r="22">
          <cell r="E22" t="str">
            <v>301100000- مقر الجمعية-01</v>
          </cell>
          <cell r="F22" t="e">
            <v>#N/A</v>
          </cell>
          <cell r="G22" t="str">
            <v>راتب سبتمبر 2024</v>
          </cell>
          <cell r="H22">
            <v>400</v>
          </cell>
          <cell r="I22">
            <v>0</v>
          </cell>
          <cell r="J22" t="str">
            <v>bec</v>
          </cell>
        </row>
        <row r="23">
          <cell r="E23" t="str">
            <v>BEC-001841</v>
          </cell>
          <cell r="F23" t="str">
            <v>عبد النور محمد عبد الواحد قاسم</v>
          </cell>
          <cell r="G23" t="str">
            <v>زيادة راتب سبتمبر 2024</v>
          </cell>
          <cell r="H23">
            <v>200</v>
          </cell>
          <cell r="I23">
            <v>0</v>
          </cell>
          <cell r="J23" t="str">
            <v>bec</v>
          </cell>
        </row>
        <row r="24">
          <cell r="E24" t="str">
            <v>BEC-001841</v>
          </cell>
          <cell r="F24" t="str">
            <v>عبد النور محمد عبد الواحد قاسم</v>
          </cell>
          <cell r="G24" t="str">
            <v>راتب سبتمبر 2024</v>
          </cell>
          <cell r="H24">
            <v>0</v>
          </cell>
          <cell r="I24">
            <v>600</v>
          </cell>
          <cell r="J24">
            <v>400</v>
          </cell>
        </row>
        <row r="25">
          <cell r="E25" t="str">
            <v>301100000- مقر الجمعية-001</v>
          </cell>
          <cell r="F25" t="e">
            <v>#N/A</v>
          </cell>
          <cell r="G25" t="str">
            <v>راتب سبتمبر 2024</v>
          </cell>
          <cell r="H25">
            <v>444.23</v>
          </cell>
          <cell r="I25">
            <v>0</v>
          </cell>
          <cell r="J25" t="str">
            <v>bec</v>
          </cell>
        </row>
        <row r="26">
          <cell r="E26" t="str">
            <v>BEC-001163</v>
          </cell>
          <cell r="F26" t="str">
            <v>محمد سعيد كامل عتمان</v>
          </cell>
          <cell r="G26" t="str">
            <v>زيادة راتب  سبتمبر 2024</v>
          </cell>
          <cell r="H26">
            <v>150</v>
          </cell>
          <cell r="I26">
            <v>0</v>
          </cell>
          <cell r="J26" t="str">
            <v>bec</v>
          </cell>
        </row>
        <row r="27">
          <cell r="E27" t="str">
            <v>BEC-001163</v>
          </cell>
          <cell r="F27" t="str">
            <v>محمد سعيد كامل عتمان</v>
          </cell>
          <cell r="G27" t="str">
            <v>راتب سبتمبر 2024</v>
          </cell>
          <cell r="H27">
            <v>0</v>
          </cell>
          <cell r="I27">
            <v>594.23</v>
          </cell>
          <cell r="J27">
            <v>444.23</v>
          </cell>
        </row>
        <row r="28">
          <cell r="E28" t="str">
            <v>BEC-001857</v>
          </cell>
          <cell r="F28" t="str">
            <v>طارق محمد محمود أدريس</v>
          </cell>
          <cell r="G28" t="str">
            <v>راتب سبتمبر 2024</v>
          </cell>
          <cell r="H28">
            <v>0</v>
          </cell>
          <cell r="I28">
            <v>546.47</v>
          </cell>
          <cell r="J28">
            <v>546.47</v>
          </cell>
        </row>
        <row r="29">
          <cell r="E29" t="str">
            <v>BEC-001858</v>
          </cell>
          <cell r="F29" t="str">
            <v>بسام السيد محمد بدوي شطا</v>
          </cell>
          <cell r="G29" t="str">
            <v>راتب سبتمبر 2024</v>
          </cell>
          <cell r="H29">
            <v>0</v>
          </cell>
          <cell r="I29">
            <v>389.42</v>
          </cell>
          <cell r="J29">
            <v>389.42</v>
          </cell>
        </row>
        <row r="30">
          <cell r="E30" t="str">
            <v>BEC-001859</v>
          </cell>
          <cell r="F30" t="str">
            <v>وليد خالد عبد النبي محمد</v>
          </cell>
          <cell r="G30" t="str">
            <v>راتب سبتمبر 2024</v>
          </cell>
          <cell r="H30">
            <v>0</v>
          </cell>
          <cell r="I30">
            <v>450</v>
          </cell>
          <cell r="J30">
            <v>450</v>
          </cell>
        </row>
        <row r="31">
          <cell r="E31" t="str">
            <v>BEC-001860</v>
          </cell>
          <cell r="F31" t="str">
            <v>مشاري الريض عويد خضير</v>
          </cell>
          <cell r="G31" t="str">
            <v>راتب سبتمبر 2024</v>
          </cell>
          <cell r="H31">
            <v>0</v>
          </cell>
          <cell r="I31">
            <v>260</v>
          </cell>
          <cell r="J31">
            <v>260</v>
          </cell>
        </row>
        <row r="32">
          <cell r="E32" t="str">
            <v>BEC-001696</v>
          </cell>
          <cell r="F32" t="str">
            <v>محمد متعب رواف محمد</v>
          </cell>
          <cell r="G32" t="str">
            <v>راتب سبتمبر 2024</v>
          </cell>
          <cell r="H32">
            <v>0</v>
          </cell>
          <cell r="I32">
            <v>231.92</v>
          </cell>
          <cell r="J32">
            <v>231.91999999999996</v>
          </cell>
        </row>
        <row r="33">
          <cell r="E33" t="str">
            <v>BEC-002095</v>
          </cell>
          <cell r="F33" t="str">
            <v>سليمان عبد الحميد سليمان</v>
          </cell>
          <cell r="G33" t="str">
            <v>راتب سبتمبر 2024</v>
          </cell>
          <cell r="H33">
            <v>0</v>
          </cell>
          <cell r="I33">
            <v>500</v>
          </cell>
          <cell r="J33">
            <v>500</v>
          </cell>
        </row>
        <row r="34">
          <cell r="E34" t="str">
            <v>Account</v>
          </cell>
          <cell r="F34" t="str">
            <v>Financial tags</v>
          </cell>
          <cell r="G34" t="str">
            <v>Description</v>
          </cell>
          <cell r="H34" t="str">
            <v>Debit</v>
          </cell>
          <cell r="I34" t="str">
            <v>Credit</v>
          </cell>
          <cell r="J34" t="str">
            <v>Offset company</v>
          </cell>
        </row>
        <row r="35">
          <cell r="E35" t="str">
            <v>BEC-000750</v>
          </cell>
          <cell r="F35" t="str">
            <v>صبري سعيد محمود محمد</v>
          </cell>
          <cell r="G35" t="str">
            <v>راتب سبتمبر 2024</v>
          </cell>
          <cell r="H35">
            <v>0</v>
          </cell>
          <cell r="I35">
            <v>50</v>
          </cell>
          <cell r="J35">
            <v>50</v>
          </cell>
        </row>
        <row r="36">
          <cell r="E36" t="str">
            <v>BEC-000378</v>
          </cell>
          <cell r="F36" t="str">
            <v>عماد يوسف عبد الله الشطي</v>
          </cell>
          <cell r="G36" t="str">
            <v>راتب سبتمبر 2024</v>
          </cell>
          <cell r="H36">
            <v>0</v>
          </cell>
          <cell r="I36">
            <v>1000</v>
          </cell>
          <cell r="J36">
            <v>1000</v>
          </cell>
        </row>
        <row r="37">
          <cell r="E37" t="str">
            <v>BEC-000179</v>
          </cell>
          <cell r="F37" t="str">
            <v>طه فتحى عبدالعظيم محمد</v>
          </cell>
          <cell r="G37" t="str">
            <v>راتب سبتمبر 2024</v>
          </cell>
          <cell r="H37">
            <v>0</v>
          </cell>
          <cell r="I37">
            <v>144.22999999999999</v>
          </cell>
          <cell r="J37">
            <v>144.22999999999999</v>
          </cell>
        </row>
        <row r="38">
          <cell r="E38" t="str">
            <v>BEC-000189</v>
          </cell>
          <cell r="F38" t="str">
            <v xml:space="preserve">السيد على عطالله السيد </v>
          </cell>
          <cell r="G38" t="str">
            <v>راتب سبتمبر 2024</v>
          </cell>
          <cell r="H38">
            <v>0</v>
          </cell>
          <cell r="I38">
            <v>255</v>
          </cell>
          <cell r="J38">
            <v>255.00000000000003</v>
          </cell>
        </row>
        <row r="39">
          <cell r="E39" t="str">
            <v>BEC-000180</v>
          </cell>
          <cell r="F39" t="str">
            <v xml:space="preserve">عبد الرحمن عبد الحميد </v>
          </cell>
          <cell r="G39" t="str">
            <v>راتب سبتمبر 2024</v>
          </cell>
          <cell r="H39">
            <v>0</v>
          </cell>
          <cell r="I39">
            <v>150</v>
          </cell>
          <cell r="J39">
            <v>150</v>
          </cell>
        </row>
        <row r="40">
          <cell r="E40" t="str">
            <v>BEC-000182</v>
          </cell>
          <cell r="F40" t="str">
            <v>محمود حسن قاسم البعداني</v>
          </cell>
          <cell r="G40" t="str">
            <v>راتب سبتمبر 2024</v>
          </cell>
          <cell r="H40">
            <v>0</v>
          </cell>
          <cell r="I40">
            <v>264.62</v>
          </cell>
          <cell r="J40">
            <v>264.62000000000006</v>
          </cell>
        </row>
        <row r="41">
          <cell r="E41" t="str">
            <v>BEC-001024</v>
          </cell>
          <cell r="F41" t="str">
            <v>شامية إبراهيم عبد المعطي  محمد الشامي</v>
          </cell>
          <cell r="G41" t="str">
            <v>راتب سبتمبر 2024</v>
          </cell>
          <cell r="H41">
            <v>0</v>
          </cell>
          <cell r="I41">
            <v>100</v>
          </cell>
          <cell r="J41">
            <v>100</v>
          </cell>
        </row>
        <row r="42">
          <cell r="E42" t="str">
            <v>BEC-000966</v>
          </cell>
          <cell r="F42" t="str">
            <v>مشعل جابر سلطان ناصر</v>
          </cell>
          <cell r="G42" t="str">
            <v>راتب سبتمبر 2024</v>
          </cell>
          <cell r="H42">
            <v>0</v>
          </cell>
          <cell r="I42">
            <v>150</v>
          </cell>
          <cell r="J42">
            <v>150</v>
          </cell>
        </row>
        <row r="43">
          <cell r="E43" t="str">
            <v>BEC-001723</v>
          </cell>
          <cell r="F43" t="str">
            <v>أمه الله مريم مليلي</v>
          </cell>
          <cell r="G43" t="str">
            <v>راتب سبتمبر 2024</v>
          </cell>
          <cell r="H43">
            <v>0</v>
          </cell>
          <cell r="I43">
            <v>100</v>
          </cell>
          <cell r="J43">
            <v>100</v>
          </cell>
        </row>
        <row r="44">
          <cell r="E44" t="str">
            <v>BEC-000214</v>
          </cell>
          <cell r="F44" t="str">
            <v>كوباما ساترام سوبارودو</v>
          </cell>
          <cell r="G44" t="str">
            <v>راتب سبتمبر 2024</v>
          </cell>
          <cell r="H44">
            <v>0</v>
          </cell>
          <cell r="I44">
            <v>80</v>
          </cell>
          <cell r="J44">
            <v>80</v>
          </cell>
        </row>
        <row r="45">
          <cell r="E45" t="str">
            <v>BEC-001191</v>
          </cell>
          <cell r="F45" t="str">
            <v>ساري كوب</v>
          </cell>
          <cell r="G45" t="str">
            <v>راتب سبتمبر 2024</v>
          </cell>
          <cell r="H45">
            <v>0</v>
          </cell>
          <cell r="I45">
            <v>150</v>
          </cell>
          <cell r="J45">
            <v>150</v>
          </cell>
        </row>
        <row r="46">
          <cell r="E46" t="str">
            <v>BEC-001476</v>
          </cell>
          <cell r="F46" t="str">
            <v xml:space="preserve">ياسر عبد الغفور حاجي محمد </v>
          </cell>
          <cell r="G46" t="str">
            <v>راتب سبتمبر 2024</v>
          </cell>
          <cell r="H46">
            <v>0</v>
          </cell>
          <cell r="I46">
            <v>200</v>
          </cell>
          <cell r="J46">
            <v>200</v>
          </cell>
        </row>
        <row r="47">
          <cell r="E47" t="str">
            <v>BEC-001466</v>
          </cell>
          <cell r="F47" t="str">
            <v xml:space="preserve">محمد حزام ناجي الخضر </v>
          </cell>
          <cell r="G47" t="str">
            <v>راتب سبتمبر 2024</v>
          </cell>
          <cell r="H47">
            <v>0</v>
          </cell>
          <cell r="I47">
            <v>250</v>
          </cell>
          <cell r="J47">
            <v>250</v>
          </cell>
        </row>
        <row r="48">
          <cell r="E48" t="str">
            <v>BEC-001679</v>
          </cell>
          <cell r="F48" t="str">
            <v xml:space="preserve">سالم مشعان النايف </v>
          </cell>
          <cell r="G48" t="str">
            <v>راتب سبتمبر 2024</v>
          </cell>
          <cell r="H48">
            <v>0</v>
          </cell>
          <cell r="I48">
            <v>280</v>
          </cell>
          <cell r="J48">
            <v>280</v>
          </cell>
        </row>
        <row r="49">
          <cell r="E49" t="str">
            <v>BEC-002111</v>
          </cell>
          <cell r="F49" t="str">
            <v>سافوج محمد فريد مياه</v>
          </cell>
          <cell r="G49" t="str">
            <v>راتب سبتمبر 2024</v>
          </cell>
          <cell r="H49">
            <v>0</v>
          </cell>
          <cell r="I49">
            <v>80</v>
          </cell>
          <cell r="J49" t="str">
            <v>bec</v>
          </cell>
        </row>
        <row r="50">
          <cell r="E50" t="str">
            <v>BEC-002002</v>
          </cell>
          <cell r="F50" t="str">
            <v>نهى صوفي عبد الظاهر علي</v>
          </cell>
          <cell r="G50" t="str">
            <v>راتب سبتمبر 2024</v>
          </cell>
          <cell r="H50">
            <v>0</v>
          </cell>
          <cell r="I50">
            <v>165</v>
          </cell>
          <cell r="J50">
            <v>164.99999999999997</v>
          </cell>
        </row>
        <row r="51">
          <cell r="E51" t="str">
            <v>BEC-002003</v>
          </cell>
          <cell r="F51" t="str">
            <v>أحلام حمود عبد الولي الطيري</v>
          </cell>
          <cell r="G51" t="str">
            <v>راتب سبتمبر 2024</v>
          </cell>
          <cell r="H51">
            <v>0</v>
          </cell>
          <cell r="I51">
            <v>100</v>
          </cell>
          <cell r="J51">
            <v>100</v>
          </cell>
        </row>
        <row r="52">
          <cell r="E52" t="str">
            <v>BEC-000546</v>
          </cell>
          <cell r="F52" t="str">
            <v>عبد الله حمد سليم صالح</v>
          </cell>
          <cell r="G52" t="str">
            <v>راتب سبتمبر 2024</v>
          </cell>
          <cell r="H52">
            <v>0</v>
          </cell>
          <cell r="I52">
            <v>250</v>
          </cell>
          <cell r="J52">
            <v>250</v>
          </cell>
        </row>
        <row r="53">
          <cell r="E53" t="str">
            <v>BEC-001920</v>
          </cell>
          <cell r="F53" t="str">
            <v>ريم هليل سلمان الشمري</v>
          </cell>
          <cell r="G53" t="str">
            <v>راتب سبتمبر 2024</v>
          </cell>
          <cell r="H53">
            <v>0</v>
          </cell>
          <cell r="I53">
            <v>100</v>
          </cell>
          <cell r="J53">
            <v>100</v>
          </cell>
        </row>
        <row r="54">
          <cell r="E54" t="str">
            <v>BEC-001927</v>
          </cell>
          <cell r="F54" t="str">
            <v>خلود نجر جزاء العتيبي</v>
          </cell>
          <cell r="G54" t="str">
            <v>راتب سبتمبر 2024</v>
          </cell>
          <cell r="H54">
            <v>0</v>
          </cell>
          <cell r="I54">
            <v>150</v>
          </cell>
          <cell r="J54">
            <v>150</v>
          </cell>
        </row>
        <row r="55">
          <cell r="E55" t="str">
            <v>BEC-002033</v>
          </cell>
          <cell r="F55" t="str">
            <v>شيمه عادل بينه العجمي</v>
          </cell>
          <cell r="G55" t="str">
            <v>راتب سبتمبر 2024</v>
          </cell>
          <cell r="H55">
            <v>0</v>
          </cell>
          <cell r="I55">
            <v>100</v>
          </cell>
          <cell r="J55">
            <v>100</v>
          </cell>
        </row>
        <row r="56">
          <cell r="E56" t="str">
            <v>BEC-002052</v>
          </cell>
          <cell r="F56" t="str">
            <v>محمد سيد أحمد مراد</v>
          </cell>
          <cell r="G56" t="str">
            <v>راتب سبتمبر 2024</v>
          </cell>
          <cell r="H56">
            <v>0</v>
          </cell>
          <cell r="I56">
            <v>93.46</v>
          </cell>
          <cell r="J56">
            <v>93.460000000000008</v>
          </cell>
        </row>
        <row r="57">
          <cell r="E57" t="str">
            <v>BEC-002048</v>
          </cell>
          <cell r="F57" t="str">
            <v>شادي ياسين أحمد الطراونة</v>
          </cell>
          <cell r="G57" t="str">
            <v>راتب سبتمبر 2024</v>
          </cell>
          <cell r="H57">
            <v>0</v>
          </cell>
          <cell r="I57">
            <v>350</v>
          </cell>
          <cell r="J57">
            <v>350</v>
          </cell>
        </row>
        <row r="58">
          <cell r="E58" t="str">
            <v>BEC-002078</v>
          </cell>
          <cell r="F58" t="str">
            <v>فجر منصور غازي ظاهر</v>
          </cell>
          <cell r="G58" t="str">
            <v>راتب سبتمبر 2024</v>
          </cell>
          <cell r="H58">
            <v>0</v>
          </cell>
          <cell r="I58">
            <v>80</v>
          </cell>
          <cell r="J58">
            <v>80</v>
          </cell>
        </row>
        <row r="59">
          <cell r="E59" t="str">
            <v>BEC-002036</v>
          </cell>
          <cell r="F59" t="str">
            <v>ام دي محي الدين</v>
          </cell>
          <cell r="G59" t="str">
            <v>راتب سبتمبر 2024</v>
          </cell>
          <cell r="H59">
            <v>0</v>
          </cell>
          <cell r="I59">
            <v>60</v>
          </cell>
          <cell r="J59">
            <v>59.999999999999993</v>
          </cell>
        </row>
        <row r="60">
          <cell r="E60" t="str">
            <v>BEC-002113</v>
          </cell>
          <cell r="F60" t="e">
            <v>#N/A</v>
          </cell>
          <cell r="G60" t="str">
            <v>راتب سبتمبر 2024</v>
          </cell>
          <cell r="H60">
            <v>0</v>
          </cell>
          <cell r="I60">
            <v>135</v>
          </cell>
          <cell r="J60" t="str">
            <v>bec</v>
          </cell>
        </row>
        <row r="61">
          <cell r="E61" t="str">
            <v>301100000- مقر الجمعية-01</v>
          </cell>
          <cell r="F61" t="e">
            <v>#N/A</v>
          </cell>
          <cell r="H61">
            <v>445.05</v>
          </cell>
          <cell r="I61">
            <v>0</v>
          </cell>
          <cell r="J61" t="str">
            <v>bec</v>
          </cell>
        </row>
        <row r="62">
          <cell r="E62" t="str">
            <v>BEC-000641</v>
          </cell>
          <cell r="F62" t="str">
            <v xml:space="preserve">إبراهيم غازي النجدي </v>
          </cell>
          <cell r="H62">
            <v>0</v>
          </cell>
          <cell r="I62">
            <v>395.05</v>
          </cell>
          <cell r="J62">
            <v>395.05</v>
          </cell>
        </row>
        <row r="63">
          <cell r="E63" t="str">
            <v>112300003</v>
          </cell>
          <cell r="F63" t="e">
            <v>#N/A</v>
          </cell>
          <cell r="H63">
            <v>0</v>
          </cell>
          <cell r="I63">
            <v>50</v>
          </cell>
          <cell r="J63" t="str">
            <v>bec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24"/>
  <sheetViews>
    <sheetView zoomScale="40" zoomScaleNormal="40" zoomScaleSheetLayoutView="20" workbookViewId="0">
      <pane xSplit="9" ySplit="5" topLeftCell="J6" activePane="bottomRight" state="frozen"/>
      <selection pane="topRight" activeCell="K1" sqref="K1"/>
      <selection pane="bottomLeft" activeCell="A6" sqref="A6"/>
      <selection pane="bottomRight" activeCell="U23" sqref="U23"/>
    </sheetView>
  </sheetViews>
  <sheetFormatPr defaultRowHeight="14.6" x14ac:dyDescent="0.4"/>
  <cols>
    <col min="2" max="2" width="9.3046875" bestFit="1" customWidth="1"/>
    <col min="3" max="3" width="15.3828125" customWidth="1"/>
    <col min="4" max="4" width="40.53515625" customWidth="1"/>
    <col min="5" max="5" width="24.69140625" style="10" customWidth="1"/>
    <col min="6" max="6" width="25.84375" customWidth="1"/>
    <col min="7" max="7" width="27.15234375" customWidth="1"/>
    <col min="8" max="8" width="26" customWidth="1"/>
    <col min="9" max="9" width="19.53515625" customWidth="1"/>
    <col min="10" max="10" width="13.84375" customWidth="1"/>
    <col min="11" max="11" width="24.84375" customWidth="1"/>
    <col min="12" max="12" width="17" customWidth="1"/>
    <col min="13" max="13" width="17.84375" bestFit="1" customWidth="1"/>
    <col min="14" max="14" width="20" customWidth="1"/>
    <col min="15" max="15" width="27.3828125" customWidth="1"/>
    <col min="16" max="16" width="20.84375" bestFit="1" customWidth="1"/>
    <col min="17" max="17" width="27" bestFit="1" customWidth="1"/>
    <col min="18" max="18" width="21.3828125" customWidth="1"/>
    <col min="19" max="19" width="23.84375" customWidth="1"/>
    <col min="20" max="20" width="14.84375" bestFit="1" customWidth="1"/>
    <col min="21" max="21" width="17.3828125" customWidth="1"/>
    <col min="22" max="22" width="25.53515625" customWidth="1"/>
    <col min="23" max="23" width="48.15234375" customWidth="1"/>
  </cols>
  <sheetData>
    <row r="1" spans="2:23" s="2" customFormat="1" ht="84.75" customHeight="1" thickBot="1" x14ac:dyDescent="0.4">
      <c r="B1" s="232" t="s">
        <v>27</v>
      </c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4"/>
    </row>
    <row r="2" spans="2:23" s="2" customFormat="1" ht="57.75" customHeight="1" thickBot="1" x14ac:dyDescent="0.4">
      <c r="B2" s="235" t="s">
        <v>28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7"/>
    </row>
    <row r="3" spans="2:23" s="2" customFormat="1" ht="41.25" customHeight="1" thickBot="1" x14ac:dyDescent="0.4">
      <c r="B3" s="238" t="s">
        <v>24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40"/>
    </row>
    <row r="4" spans="2:23" s="7" customFormat="1" ht="59.15" customHeight="1" thickBot="1" x14ac:dyDescent="0.45">
      <c r="B4" s="241" t="s">
        <v>2</v>
      </c>
      <c r="C4" s="243" t="s">
        <v>23</v>
      </c>
      <c r="D4" s="243" t="s">
        <v>4</v>
      </c>
      <c r="E4" s="245" t="s">
        <v>6</v>
      </c>
      <c r="F4" s="243" t="s">
        <v>25</v>
      </c>
      <c r="G4" s="243" t="s">
        <v>5</v>
      </c>
      <c r="H4" s="243" t="s">
        <v>7</v>
      </c>
      <c r="I4" s="250" t="s">
        <v>21</v>
      </c>
      <c r="J4" s="252" t="s">
        <v>8</v>
      </c>
      <c r="K4" s="247" t="s">
        <v>3</v>
      </c>
      <c r="L4" s="248"/>
      <c r="M4" s="248"/>
      <c r="N4" s="248"/>
      <c r="O4" s="248"/>
      <c r="P4" s="248"/>
      <c r="Q4" s="249"/>
      <c r="R4" s="247" t="s">
        <v>1</v>
      </c>
      <c r="S4" s="248"/>
      <c r="T4" s="248"/>
      <c r="U4" s="249"/>
      <c r="V4" s="250" t="s">
        <v>19</v>
      </c>
      <c r="W4" s="243" t="s">
        <v>20</v>
      </c>
    </row>
    <row r="5" spans="2:23" s="7" customFormat="1" ht="81.75" customHeight="1" thickBot="1" x14ac:dyDescent="0.45">
      <c r="B5" s="242"/>
      <c r="C5" s="244"/>
      <c r="D5" s="244"/>
      <c r="E5" s="246"/>
      <c r="F5" s="244"/>
      <c r="G5" s="242"/>
      <c r="H5" s="244"/>
      <c r="I5" s="251"/>
      <c r="J5" s="253"/>
      <c r="K5" s="5" t="s">
        <v>9</v>
      </c>
      <c r="L5" s="5" t="s">
        <v>10</v>
      </c>
      <c r="M5" s="5" t="s">
        <v>11</v>
      </c>
      <c r="N5" s="6" t="s">
        <v>22</v>
      </c>
      <c r="O5" s="6" t="s">
        <v>13</v>
      </c>
      <c r="P5" s="6" t="s">
        <v>14</v>
      </c>
      <c r="Q5" s="5" t="s">
        <v>15</v>
      </c>
      <c r="R5" s="5" t="s">
        <v>16</v>
      </c>
      <c r="S5" s="5" t="s">
        <v>17</v>
      </c>
      <c r="T5" s="5" t="s">
        <v>18</v>
      </c>
      <c r="U5" s="5" t="s">
        <v>14</v>
      </c>
      <c r="V5" s="251"/>
      <c r="W5" s="244"/>
    </row>
    <row r="6" spans="2:23" s="2" customFormat="1" ht="60" customHeight="1" thickBot="1" x14ac:dyDescent="0.4">
      <c r="B6" s="33">
        <v>1</v>
      </c>
      <c r="C6" s="55"/>
      <c r="D6" s="25"/>
      <c r="E6" s="34"/>
      <c r="F6" s="56"/>
      <c r="G6" s="55"/>
      <c r="H6" s="55"/>
      <c r="I6" s="35">
        <v>26</v>
      </c>
      <c r="J6" s="41">
        <v>0</v>
      </c>
      <c r="K6" s="45">
        <f t="shared" ref="K6:K11" si="0">H6/26*I6</f>
        <v>0</v>
      </c>
      <c r="L6" s="36">
        <v>0</v>
      </c>
      <c r="M6" s="57">
        <v>0</v>
      </c>
      <c r="N6" s="36">
        <v>0</v>
      </c>
      <c r="O6" s="58">
        <v>0</v>
      </c>
      <c r="P6" s="36">
        <v>0</v>
      </c>
      <c r="Q6" s="72">
        <f>K6+L6+M6+N6+O6+P6</f>
        <v>0</v>
      </c>
      <c r="R6" s="45">
        <v>0</v>
      </c>
      <c r="S6" s="36">
        <v>0</v>
      </c>
      <c r="T6" s="36">
        <v>0</v>
      </c>
      <c r="U6" s="46">
        <v>0</v>
      </c>
      <c r="V6" s="59">
        <f>Q6-R6-S6-T6-U6</f>
        <v>0</v>
      </c>
      <c r="W6" s="60"/>
    </row>
    <row r="7" spans="2:23" s="2" customFormat="1" ht="60" customHeight="1" thickBot="1" x14ac:dyDescent="0.4">
      <c r="B7" s="26">
        <v>2</v>
      </c>
      <c r="C7" s="9"/>
      <c r="D7" s="1"/>
      <c r="E7" s="19"/>
      <c r="F7" s="61"/>
      <c r="G7" s="9"/>
      <c r="H7" s="9"/>
      <c r="I7" s="3">
        <v>26</v>
      </c>
      <c r="J7" s="27">
        <v>0</v>
      </c>
      <c r="K7" s="45">
        <f t="shared" si="0"/>
        <v>0</v>
      </c>
      <c r="L7" s="21">
        <v>0</v>
      </c>
      <c r="M7" s="22">
        <v>0</v>
      </c>
      <c r="N7" s="21">
        <v>0</v>
      </c>
      <c r="O7" s="21">
        <v>0</v>
      </c>
      <c r="P7" s="21">
        <v>0</v>
      </c>
      <c r="Q7" s="73">
        <f>K7+L7+M7+N7+O7+P7</f>
        <v>0</v>
      </c>
      <c r="R7" s="28">
        <v>0</v>
      </c>
      <c r="S7" s="21">
        <v>0</v>
      </c>
      <c r="T7" s="21">
        <v>0</v>
      </c>
      <c r="U7" s="29">
        <v>0</v>
      </c>
      <c r="V7" s="30">
        <f>Q7-R7-S7-T7-U7</f>
        <v>0</v>
      </c>
      <c r="W7" s="17"/>
    </row>
    <row r="8" spans="2:23" s="2" customFormat="1" ht="60" customHeight="1" thickBot="1" x14ac:dyDescent="0.4">
      <c r="B8" s="33">
        <v>3</v>
      </c>
      <c r="C8" s="9"/>
      <c r="D8" s="1"/>
      <c r="E8" s="19"/>
      <c r="F8" s="61"/>
      <c r="G8" s="9"/>
      <c r="H8" s="9"/>
      <c r="I8" s="3">
        <v>26</v>
      </c>
      <c r="J8" s="27">
        <v>0</v>
      </c>
      <c r="K8" s="45">
        <f t="shared" si="0"/>
        <v>0</v>
      </c>
      <c r="L8" s="21">
        <v>0</v>
      </c>
      <c r="M8" s="22">
        <v>0</v>
      </c>
      <c r="N8" s="21">
        <v>0</v>
      </c>
      <c r="O8" s="21">
        <v>0</v>
      </c>
      <c r="P8" s="21">
        <v>0</v>
      </c>
      <c r="Q8" s="73">
        <f t="shared" ref="Q8:Q19" si="1">K8+L8+M8+N8+O8+P8</f>
        <v>0</v>
      </c>
      <c r="R8" s="28">
        <v>0</v>
      </c>
      <c r="S8" s="21">
        <v>0</v>
      </c>
      <c r="T8" s="21">
        <v>0</v>
      </c>
      <c r="U8" s="29">
        <v>0</v>
      </c>
      <c r="V8" s="30">
        <f>Q8-R8-S8-T8-U8</f>
        <v>0</v>
      </c>
      <c r="W8" s="17"/>
    </row>
    <row r="9" spans="2:23" s="2" customFormat="1" ht="60" customHeight="1" thickBot="1" x14ac:dyDescent="0.4">
      <c r="B9" s="26">
        <v>4</v>
      </c>
      <c r="C9" s="9"/>
      <c r="D9" s="1"/>
      <c r="E9" s="19"/>
      <c r="F9" s="61"/>
      <c r="G9" s="9"/>
      <c r="H9" s="9"/>
      <c r="I9" s="3">
        <v>26</v>
      </c>
      <c r="J9" s="27">
        <v>0</v>
      </c>
      <c r="K9" s="45">
        <f t="shared" si="0"/>
        <v>0</v>
      </c>
      <c r="L9" s="21">
        <v>0</v>
      </c>
      <c r="M9" s="22">
        <v>0</v>
      </c>
      <c r="N9" s="21">
        <v>0</v>
      </c>
      <c r="O9" s="21">
        <v>0</v>
      </c>
      <c r="P9" s="21">
        <v>0</v>
      </c>
      <c r="Q9" s="73">
        <f t="shared" si="1"/>
        <v>0</v>
      </c>
      <c r="R9" s="28">
        <v>0</v>
      </c>
      <c r="S9" s="21">
        <v>0</v>
      </c>
      <c r="T9" s="21">
        <v>0</v>
      </c>
      <c r="U9" s="29">
        <v>0</v>
      </c>
      <c r="V9" s="30">
        <f>Q9-R9-S9-T9-U9</f>
        <v>0</v>
      </c>
      <c r="W9" s="17"/>
    </row>
    <row r="10" spans="2:23" s="2" customFormat="1" ht="60" customHeight="1" thickBot="1" x14ac:dyDescent="0.4">
      <c r="B10" s="33">
        <v>5</v>
      </c>
      <c r="C10" s="9"/>
      <c r="D10" s="1"/>
      <c r="E10" s="19"/>
      <c r="F10" s="20"/>
      <c r="G10" s="9"/>
      <c r="H10" s="9"/>
      <c r="I10" s="3">
        <v>26</v>
      </c>
      <c r="J10" s="27">
        <v>0</v>
      </c>
      <c r="K10" s="45">
        <f t="shared" si="0"/>
        <v>0</v>
      </c>
      <c r="L10" s="21">
        <v>0</v>
      </c>
      <c r="M10" s="22">
        <v>0</v>
      </c>
      <c r="N10" s="21">
        <v>0</v>
      </c>
      <c r="O10" s="21">
        <v>0</v>
      </c>
      <c r="P10" s="21">
        <v>0</v>
      </c>
      <c r="Q10" s="73">
        <f t="shared" si="1"/>
        <v>0</v>
      </c>
      <c r="R10" s="28">
        <v>0</v>
      </c>
      <c r="S10" s="21">
        <v>0</v>
      </c>
      <c r="T10" s="21">
        <v>0</v>
      </c>
      <c r="U10" s="29">
        <v>0</v>
      </c>
      <c r="V10" s="30">
        <f t="shared" ref="V10:V19" si="2">Q10-R10-S10-T10-U10</f>
        <v>0</v>
      </c>
      <c r="W10" s="17"/>
    </row>
    <row r="11" spans="2:23" s="16" customFormat="1" ht="60" customHeight="1" thickBot="1" x14ac:dyDescent="0.4">
      <c r="B11" s="26">
        <v>6</v>
      </c>
      <c r="C11" s="13"/>
      <c r="D11" s="11"/>
      <c r="E11" s="19"/>
      <c r="F11" s="23"/>
      <c r="G11" s="13"/>
      <c r="H11" s="55"/>
      <c r="I11" s="3">
        <v>26</v>
      </c>
      <c r="J11" s="27">
        <v>0</v>
      </c>
      <c r="K11" s="45">
        <f t="shared" si="0"/>
        <v>0</v>
      </c>
      <c r="L11" s="21">
        <v>0</v>
      </c>
      <c r="M11" s="24">
        <v>0</v>
      </c>
      <c r="N11" s="21">
        <v>0</v>
      </c>
      <c r="O11" s="21">
        <v>0</v>
      </c>
      <c r="P11" s="21">
        <v>0</v>
      </c>
      <c r="Q11" s="73">
        <f t="shared" ref="Q11" si="3">K11+L11+M11+N11+O11+P11</f>
        <v>0</v>
      </c>
      <c r="R11" s="28">
        <v>0</v>
      </c>
      <c r="S11" s="21">
        <v>0</v>
      </c>
      <c r="T11" s="21">
        <v>0</v>
      </c>
      <c r="U11" s="29">
        <v>0</v>
      </c>
      <c r="V11" s="30">
        <f t="shared" ref="V11" si="4">Q11-R11-S11-T11-U11</f>
        <v>0</v>
      </c>
      <c r="W11" s="18"/>
    </row>
    <row r="12" spans="2:23" s="76" customFormat="1" ht="60" customHeight="1" thickBot="1" x14ac:dyDescent="0.4">
      <c r="B12" s="79">
        <v>7</v>
      </c>
      <c r="C12" s="80"/>
      <c r="D12" s="80"/>
      <c r="E12" s="81"/>
      <c r="F12" s="78"/>
      <c r="G12" s="82"/>
      <c r="H12" s="80"/>
      <c r="I12" s="75">
        <v>26</v>
      </c>
      <c r="J12" s="83">
        <v>0</v>
      </c>
      <c r="K12" s="84">
        <f t="shared" ref="K12:K19" si="5">H12/26*I12</f>
        <v>0</v>
      </c>
      <c r="L12" s="85">
        <v>0</v>
      </c>
      <c r="M12" s="86">
        <v>0</v>
      </c>
      <c r="N12" s="85">
        <v>0</v>
      </c>
      <c r="O12" s="85">
        <v>0</v>
      </c>
      <c r="P12" s="85">
        <v>0</v>
      </c>
      <c r="Q12" s="87">
        <f t="shared" si="1"/>
        <v>0</v>
      </c>
      <c r="R12" s="84">
        <v>0</v>
      </c>
      <c r="S12" s="85">
        <v>0</v>
      </c>
      <c r="T12" s="85">
        <v>0</v>
      </c>
      <c r="U12" s="88"/>
      <c r="V12" s="89">
        <f t="shared" si="2"/>
        <v>0</v>
      </c>
      <c r="W12" s="90"/>
    </row>
    <row r="13" spans="2:23" s="2" customFormat="1" ht="60" customHeight="1" thickBot="1" x14ac:dyDescent="0.4">
      <c r="B13" s="26">
        <v>8</v>
      </c>
      <c r="C13" s="9"/>
      <c r="D13" s="1"/>
      <c r="E13" s="19"/>
      <c r="F13" s="20"/>
      <c r="G13" s="9"/>
      <c r="H13" s="9"/>
      <c r="I13" s="3">
        <v>26</v>
      </c>
      <c r="J13" s="27">
        <v>0</v>
      </c>
      <c r="K13" s="28">
        <f t="shared" si="5"/>
        <v>0</v>
      </c>
      <c r="L13" s="21">
        <v>0</v>
      </c>
      <c r="M13" s="22">
        <v>0</v>
      </c>
      <c r="N13" s="21">
        <v>0</v>
      </c>
      <c r="O13" s="21">
        <v>0</v>
      </c>
      <c r="P13" s="21">
        <v>0</v>
      </c>
      <c r="Q13" s="73">
        <f t="shared" si="1"/>
        <v>0</v>
      </c>
      <c r="R13" s="28">
        <v>0</v>
      </c>
      <c r="S13" s="21">
        <v>0</v>
      </c>
      <c r="T13" s="21">
        <v>0</v>
      </c>
      <c r="U13" s="29">
        <v>0</v>
      </c>
      <c r="V13" s="30">
        <f t="shared" si="2"/>
        <v>0</v>
      </c>
      <c r="W13" s="17"/>
    </row>
    <row r="14" spans="2:23" s="2" customFormat="1" ht="60" customHeight="1" thickBot="1" x14ac:dyDescent="0.4">
      <c r="B14" s="33">
        <v>9</v>
      </c>
      <c r="C14" s="9"/>
      <c r="D14" s="1"/>
      <c r="E14" s="19"/>
      <c r="F14" s="20"/>
      <c r="G14" s="9"/>
      <c r="H14" s="9"/>
      <c r="I14" s="3">
        <v>26</v>
      </c>
      <c r="J14" s="27">
        <v>0</v>
      </c>
      <c r="K14" s="28">
        <f t="shared" si="5"/>
        <v>0</v>
      </c>
      <c r="L14" s="21">
        <v>0</v>
      </c>
      <c r="M14" s="22">
        <v>0</v>
      </c>
      <c r="N14" s="21">
        <v>0</v>
      </c>
      <c r="O14" s="21">
        <v>0</v>
      </c>
      <c r="P14" s="21">
        <v>0</v>
      </c>
      <c r="Q14" s="73">
        <f t="shared" si="1"/>
        <v>0</v>
      </c>
      <c r="R14" s="28">
        <v>0</v>
      </c>
      <c r="S14" s="103"/>
      <c r="T14" s="21">
        <v>0</v>
      </c>
      <c r="U14" s="29">
        <v>0</v>
      </c>
      <c r="V14" s="30">
        <f t="shared" si="2"/>
        <v>0</v>
      </c>
      <c r="W14" s="102"/>
    </row>
    <row r="15" spans="2:23" s="2" customFormat="1" ht="60" customHeight="1" thickBot="1" x14ac:dyDescent="0.4">
      <c r="B15" s="26">
        <v>10</v>
      </c>
      <c r="C15" s="9"/>
      <c r="D15" s="1"/>
      <c r="E15" s="19"/>
      <c r="F15" s="20"/>
      <c r="G15" s="9"/>
      <c r="H15" s="9"/>
      <c r="I15" s="3">
        <v>26</v>
      </c>
      <c r="J15" s="27">
        <v>0</v>
      </c>
      <c r="K15" s="28">
        <f t="shared" si="5"/>
        <v>0</v>
      </c>
      <c r="L15" s="21">
        <v>0</v>
      </c>
      <c r="M15" s="22">
        <v>0</v>
      </c>
      <c r="N15" s="21">
        <v>0</v>
      </c>
      <c r="O15" s="21">
        <v>0</v>
      </c>
      <c r="P15" s="21">
        <v>0</v>
      </c>
      <c r="Q15" s="73">
        <f t="shared" si="1"/>
        <v>0</v>
      </c>
      <c r="R15" s="28">
        <v>0</v>
      </c>
      <c r="S15" s="21">
        <v>0</v>
      </c>
      <c r="T15" s="21">
        <v>0</v>
      </c>
      <c r="U15" s="29">
        <v>0</v>
      </c>
      <c r="V15" s="30">
        <f t="shared" si="2"/>
        <v>0</v>
      </c>
      <c r="W15" s="17"/>
    </row>
    <row r="16" spans="2:23" s="2" customFormat="1" ht="60" customHeight="1" thickBot="1" x14ac:dyDescent="0.4">
      <c r="B16" s="26">
        <v>11</v>
      </c>
      <c r="C16" s="9"/>
      <c r="D16" s="1"/>
      <c r="E16" s="19"/>
      <c r="F16" s="20"/>
      <c r="G16" s="9"/>
      <c r="H16" s="9"/>
      <c r="I16" s="3">
        <v>26</v>
      </c>
      <c r="J16" s="27">
        <v>0</v>
      </c>
      <c r="K16" s="28">
        <f t="shared" si="5"/>
        <v>0</v>
      </c>
      <c r="L16" s="21">
        <v>0</v>
      </c>
      <c r="M16" s="22">
        <v>0</v>
      </c>
      <c r="N16" s="21">
        <v>0</v>
      </c>
      <c r="O16" s="21">
        <v>0</v>
      </c>
      <c r="P16" s="21">
        <v>0</v>
      </c>
      <c r="Q16" s="73">
        <f t="shared" si="1"/>
        <v>0</v>
      </c>
      <c r="R16" s="28">
        <v>0</v>
      </c>
      <c r="S16" s="21">
        <v>0</v>
      </c>
      <c r="T16" s="21">
        <v>0</v>
      </c>
      <c r="U16" s="29">
        <v>0</v>
      </c>
      <c r="V16" s="30">
        <f t="shared" si="2"/>
        <v>0</v>
      </c>
      <c r="W16" s="17"/>
    </row>
    <row r="17" spans="2:23" s="2" customFormat="1" ht="60" customHeight="1" thickBot="1" x14ac:dyDescent="0.4">
      <c r="B17" s="26">
        <v>12</v>
      </c>
      <c r="C17" s="9"/>
      <c r="D17" s="1"/>
      <c r="E17" s="19"/>
      <c r="F17" s="20"/>
      <c r="G17" s="9"/>
      <c r="H17" s="9"/>
      <c r="I17" s="3">
        <v>26</v>
      </c>
      <c r="J17" s="27">
        <v>0</v>
      </c>
      <c r="K17" s="28">
        <f t="shared" si="5"/>
        <v>0</v>
      </c>
      <c r="L17" s="21">
        <v>0</v>
      </c>
      <c r="M17" s="22">
        <v>0</v>
      </c>
      <c r="N17" s="21">
        <v>0</v>
      </c>
      <c r="O17" s="21">
        <v>0</v>
      </c>
      <c r="P17" s="21">
        <v>0</v>
      </c>
      <c r="Q17" s="73">
        <f t="shared" si="1"/>
        <v>0</v>
      </c>
      <c r="R17" s="28">
        <v>0</v>
      </c>
      <c r="S17" s="21">
        <v>0</v>
      </c>
      <c r="T17" s="21">
        <v>0</v>
      </c>
      <c r="U17" s="29">
        <v>0</v>
      </c>
      <c r="V17" s="30">
        <f t="shared" si="2"/>
        <v>0</v>
      </c>
      <c r="W17" s="17"/>
    </row>
    <row r="18" spans="2:23" s="2" customFormat="1" ht="60" customHeight="1" thickBot="1" x14ac:dyDescent="0.4">
      <c r="B18" s="33">
        <v>13</v>
      </c>
      <c r="C18" s="9"/>
      <c r="D18" s="1"/>
      <c r="E18" s="19"/>
      <c r="F18" s="20"/>
      <c r="G18" s="9"/>
      <c r="H18" s="9"/>
      <c r="I18" s="3">
        <v>26</v>
      </c>
      <c r="J18" s="27">
        <v>0</v>
      </c>
      <c r="K18" s="28">
        <f t="shared" si="5"/>
        <v>0</v>
      </c>
      <c r="L18" s="21">
        <v>0</v>
      </c>
      <c r="M18" s="22">
        <v>0</v>
      </c>
      <c r="N18" s="21">
        <v>0</v>
      </c>
      <c r="O18" s="21">
        <v>0</v>
      </c>
      <c r="P18" s="21">
        <v>0</v>
      </c>
      <c r="Q18" s="73">
        <f t="shared" si="1"/>
        <v>0</v>
      </c>
      <c r="R18" s="28">
        <v>0</v>
      </c>
      <c r="S18" s="21">
        <v>0</v>
      </c>
      <c r="T18" s="21">
        <v>0</v>
      </c>
      <c r="U18" s="29">
        <v>0</v>
      </c>
      <c r="V18" s="30">
        <f t="shared" si="2"/>
        <v>0</v>
      </c>
      <c r="W18" s="17"/>
    </row>
    <row r="19" spans="2:23" s="2" customFormat="1" ht="60" customHeight="1" thickBot="1" x14ac:dyDescent="0.4">
      <c r="B19" s="26">
        <v>14</v>
      </c>
      <c r="C19" s="9"/>
      <c r="D19" s="1"/>
      <c r="E19" s="19"/>
      <c r="F19" s="20"/>
      <c r="G19" s="9"/>
      <c r="H19" s="9"/>
      <c r="I19" s="3">
        <v>26</v>
      </c>
      <c r="J19" s="27">
        <v>0</v>
      </c>
      <c r="K19" s="28">
        <f t="shared" si="5"/>
        <v>0</v>
      </c>
      <c r="L19" s="21">
        <v>0</v>
      </c>
      <c r="M19" s="22">
        <v>0</v>
      </c>
      <c r="N19" s="21">
        <v>0</v>
      </c>
      <c r="O19" s="21">
        <v>0</v>
      </c>
      <c r="P19" s="21">
        <v>0</v>
      </c>
      <c r="Q19" s="73">
        <f t="shared" si="1"/>
        <v>0</v>
      </c>
      <c r="R19" s="28">
        <v>0</v>
      </c>
      <c r="S19" s="21">
        <v>0</v>
      </c>
      <c r="T19" s="21">
        <v>0</v>
      </c>
      <c r="U19" s="29">
        <v>0</v>
      </c>
      <c r="V19" s="30">
        <f t="shared" si="2"/>
        <v>0</v>
      </c>
      <c r="W19" s="17"/>
    </row>
    <row r="20" spans="2:23" s="2" customFormat="1" ht="60" customHeight="1" thickBot="1" x14ac:dyDescent="0.4">
      <c r="B20" s="26">
        <v>16</v>
      </c>
      <c r="C20" s="63"/>
      <c r="D20" s="15"/>
      <c r="E20" s="38"/>
      <c r="F20" s="64"/>
      <c r="G20" s="9"/>
      <c r="H20" s="9"/>
      <c r="I20" s="39">
        <v>26</v>
      </c>
      <c r="J20" s="42">
        <v>0</v>
      </c>
      <c r="K20" s="47">
        <f t="shared" ref="K20" si="6">H20/26*I20</f>
        <v>0</v>
      </c>
      <c r="L20" s="40">
        <v>0</v>
      </c>
      <c r="M20" s="65">
        <v>0</v>
      </c>
      <c r="N20" s="40">
        <v>0</v>
      </c>
      <c r="O20" s="40">
        <v>0</v>
      </c>
      <c r="P20" s="40">
        <v>0</v>
      </c>
      <c r="Q20" s="74">
        <f t="shared" ref="Q20" si="7">K20+L20+M20+N20+O20+P20</f>
        <v>0</v>
      </c>
      <c r="R20" s="47">
        <v>0</v>
      </c>
      <c r="S20" s="103"/>
      <c r="T20" s="40">
        <v>0</v>
      </c>
      <c r="U20" s="48">
        <v>0</v>
      </c>
      <c r="V20" s="66">
        <f t="shared" ref="V20" si="8">Q20-R20-S20-T20-U20</f>
        <v>0</v>
      </c>
      <c r="W20" s="102"/>
    </row>
    <row r="21" spans="2:23" s="2" customFormat="1" ht="60" customHeight="1" thickBot="1" x14ac:dyDescent="0.4">
      <c r="B21" s="33">
        <v>17</v>
      </c>
      <c r="C21" s="63"/>
      <c r="D21" s="15"/>
      <c r="E21" s="38"/>
      <c r="F21" s="64"/>
      <c r="G21" s="9"/>
      <c r="H21" s="9"/>
      <c r="I21" s="39">
        <v>26</v>
      </c>
      <c r="J21" s="42">
        <v>0</v>
      </c>
      <c r="K21" s="47">
        <f t="shared" ref="K21" si="9">H21/26*I21</f>
        <v>0</v>
      </c>
      <c r="L21" s="40">
        <v>0</v>
      </c>
      <c r="M21" s="65">
        <v>0</v>
      </c>
      <c r="N21" s="40">
        <v>0</v>
      </c>
      <c r="O21" s="40">
        <v>0</v>
      </c>
      <c r="P21" s="40">
        <v>0</v>
      </c>
      <c r="Q21" s="74">
        <f t="shared" ref="Q21" si="10">K21+L21+M21+N21+O21+P21</f>
        <v>0</v>
      </c>
      <c r="R21" s="47">
        <v>0</v>
      </c>
      <c r="S21" s="40">
        <v>0</v>
      </c>
      <c r="T21" s="40">
        <v>0</v>
      </c>
      <c r="U21" s="48">
        <v>0</v>
      </c>
      <c r="V21" s="66">
        <f t="shared" ref="V21" si="11">Q21-R21-S21-T21-U21</f>
        <v>0</v>
      </c>
      <c r="W21" s="62"/>
    </row>
    <row r="22" spans="2:23" s="2" customFormat="1" ht="60" customHeight="1" thickBot="1" x14ac:dyDescent="0.4">
      <c r="B22" s="26">
        <v>18</v>
      </c>
      <c r="C22" s="63"/>
      <c r="D22" s="15"/>
      <c r="E22" s="38"/>
      <c r="F22" s="64"/>
      <c r="G22" s="9"/>
      <c r="H22" s="9"/>
      <c r="I22" s="39">
        <v>26</v>
      </c>
      <c r="J22" s="42">
        <v>0</v>
      </c>
      <c r="K22" s="47">
        <f t="shared" ref="K22" si="12">H22/26*I22</f>
        <v>0</v>
      </c>
      <c r="L22" s="40">
        <v>0</v>
      </c>
      <c r="M22" s="65">
        <v>0</v>
      </c>
      <c r="N22" s="40">
        <v>0</v>
      </c>
      <c r="O22" s="40">
        <v>0</v>
      </c>
      <c r="P22" s="40">
        <v>0</v>
      </c>
      <c r="Q22" s="74">
        <f t="shared" ref="Q22" si="13">K22+L22+M22+N22+O22+P22</f>
        <v>0</v>
      </c>
      <c r="R22" s="47">
        <v>0</v>
      </c>
      <c r="S22" s="40">
        <v>0</v>
      </c>
      <c r="T22" s="40">
        <v>0</v>
      </c>
      <c r="U22" s="48">
        <v>0</v>
      </c>
      <c r="V22" s="66">
        <f t="shared" ref="V22" si="14">Q22-R22-S22-T22-U22</f>
        <v>0</v>
      </c>
      <c r="W22" s="62"/>
    </row>
    <row r="23" spans="2:23" s="76" customFormat="1" ht="60" customHeight="1" thickBot="1" x14ac:dyDescent="0.4">
      <c r="B23" s="79">
        <v>19</v>
      </c>
      <c r="C23" s="91"/>
      <c r="D23" s="91"/>
      <c r="E23" s="92"/>
      <c r="F23" s="93"/>
      <c r="G23" s="80"/>
      <c r="H23" s="80"/>
      <c r="I23" s="77">
        <v>26</v>
      </c>
      <c r="J23" s="94">
        <v>0</v>
      </c>
      <c r="K23" s="95">
        <f t="shared" ref="K23" si="15">H23/26*I23</f>
        <v>0</v>
      </c>
      <c r="L23" s="96">
        <v>0</v>
      </c>
      <c r="M23" s="97">
        <v>0</v>
      </c>
      <c r="N23" s="96">
        <v>0</v>
      </c>
      <c r="O23" s="96">
        <v>0</v>
      </c>
      <c r="P23" s="96">
        <v>0</v>
      </c>
      <c r="Q23" s="98">
        <f t="shared" ref="Q23" si="16">K23+L23+M23+N23+O23+P23</f>
        <v>0</v>
      </c>
      <c r="R23" s="95">
        <v>0</v>
      </c>
      <c r="S23" s="96">
        <v>0</v>
      </c>
      <c r="T23" s="96">
        <v>0</v>
      </c>
      <c r="U23" s="99"/>
      <c r="V23" s="100">
        <f t="shared" ref="V23" si="17">Q23-R23-S23-T23-U23</f>
        <v>0</v>
      </c>
      <c r="W23" s="101"/>
    </row>
    <row r="24" spans="2:23" s="8" customFormat="1" ht="79" customHeight="1" thickBot="1" x14ac:dyDescent="0.6">
      <c r="B24" s="254" t="s">
        <v>0</v>
      </c>
      <c r="C24" s="255"/>
      <c r="D24" s="255"/>
      <c r="E24" s="255"/>
      <c r="F24" s="255"/>
      <c r="G24" s="255"/>
      <c r="H24" s="255"/>
      <c r="I24" s="255"/>
      <c r="J24" s="255"/>
      <c r="K24" s="68">
        <f>SUM(K6:K23)</f>
        <v>0</v>
      </c>
      <c r="L24" s="31">
        <f>SUM(L6:L19)</f>
        <v>0</v>
      </c>
      <c r="M24" s="69">
        <f>SUM(M6:M22)</f>
        <v>0</v>
      </c>
      <c r="N24" s="31">
        <f>SUM(N6:N19)</f>
        <v>0</v>
      </c>
      <c r="O24" s="67">
        <f>SUM(O6:O19)</f>
        <v>0</v>
      </c>
      <c r="P24" s="31">
        <f>SUM(P6:P19)</f>
        <v>0</v>
      </c>
      <c r="Q24" s="67">
        <f t="shared" ref="Q24:V24" si="18">SUM(Q6:Q23)</f>
        <v>0</v>
      </c>
      <c r="R24" s="31">
        <f t="shared" si="18"/>
        <v>0</v>
      </c>
      <c r="S24" s="31">
        <f t="shared" si="18"/>
        <v>0</v>
      </c>
      <c r="T24" s="31">
        <f t="shared" si="18"/>
        <v>0</v>
      </c>
      <c r="U24" s="31">
        <f t="shared" si="18"/>
        <v>0</v>
      </c>
      <c r="V24" s="70">
        <f t="shared" si="18"/>
        <v>0</v>
      </c>
    </row>
  </sheetData>
  <autoFilter ref="B4:H24" xr:uid="{00000000-0009-0000-0000-000002000000}"/>
  <mergeCells count="17">
    <mergeCell ref="B24:J24"/>
    <mergeCell ref="B1:W1"/>
    <mergeCell ref="B2:W2"/>
    <mergeCell ref="B3:W3"/>
    <mergeCell ref="B4:B5"/>
    <mergeCell ref="C4:C5"/>
    <mergeCell ref="D4:D5"/>
    <mergeCell ref="E4:E5"/>
    <mergeCell ref="F4:F5"/>
    <mergeCell ref="G4:G5"/>
    <mergeCell ref="R4:U4"/>
    <mergeCell ref="V4:V5"/>
    <mergeCell ref="W4:W5"/>
    <mergeCell ref="H4:H5"/>
    <mergeCell ref="I4:I5"/>
    <mergeCell ref="J4:J5"/>
    <mergeCell ref="K4:Q4"/>
  </mergeCells>
  <phoneticPr fontId="9" type="noConversion"/>
  <conditionalFormatting sqref="D6:D15 D17:D19">
    <cfRule type="duplicateValues" dxfId="34" priority="687"/>
  </conditionalFormatting>
  <conditionalFormatting sqref="D16">
    <cfRule type="duplicateValues" dxfId="33" priority="1"/>
  </conditionalFormatting>
  <conditionalFormatting sqref="D20:D23">
    <cfRule type="duplicateValues" dxfId="32" priority="669"/>
  </conditionalFormatting>
  <conditionalFormatting sqref="F6:F15 F17:F19">
    <cfRule type="duplicateValues" dxfId="31" priority="811"/>
    <cfRule type="duplicateValues" dxfId="30" priority="812"/>
    <cfRule type="duplicateValues" dxfId="29" priority="813"/>
  </conditionalFormatting>
  <conditionalFormatting sqref="F16">
    <cfRule type="duplicateValues" dxfId="28" priority="2"/>
    <cfRule type="duplicateValues" dxfId="27" priority="3"/>
    <cfRule type="duplicateValues" dxfId="26" priority="4"/>
  </conditionalFormatting>
  <conditionalFormatting sqref="F20:F23">
    <cfRule type="duplicateValues" dxfId="25" priority="666"/>
    <cfRule type="duplicateValues" dxfId="24" priority="667"/>
    <cfRule type="duplicateValues" dxfId="23" priority="668"/>
  </conditionalFormatting>
  <pageMargins left="0.7" right="0.7" top="0.75" bottom="0.75" header="0.3" footer="0.3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69"/>
  <sheetViews>
    <sheetView zoomScale="60" zoomScaleNormal="60" workbookViewId="0">
      <pane ySplit="5" topLeftCell="A6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3" max="3" width="34.69140625" style="4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5.3046875" customWidth="1"/>
    <col min="18" max="18" width="10.53515625" customWidth="1"/>
    <col min="19" max="19" width="21.15234375" customWidth="1"/>
    <col min="20" max="20" width="22.53515625" customWidth="1"/>
    <col min="21" max="21" width="10" customWidth="1"/>
    <col min="22" max="22" width="18.3046875" customWidth="1"/>
    <col min="23" max="23" width="17" customWidth="1"/>
  </cols>
  <sheetData>
    <row r="1" spans="1:23" ht="51.65" customHeight="1" thickBot="1" x14ac:dyDescent="0.45">
      <c r="A1" s="259" t="s">
        <v>74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</row>
    <row r="2" spans="1:23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9"/>
    </row>
    <row r="3" spans="1:23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9"/>
    </row>
    <row r="4" spans="1:23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226" t="s">
        <v>5</v>
      </c>
      <c r="F4" s="226" t="s">
        <v>7</v>
      </c>
      <c r="G4" s="226" t="s">
        <v>21</v>
      </c>
      <c r="H4" s="226" t="s">
        <v>8</v>
      </c>
      <c r="I4" s="228" t="s">
        <v>3</v>
      </c>
      <c r="J4" s="228"/>
      <c r="K4" s="228"/>
      <c r="L4" s="228"/>
      <c r="M4" s="228"/>
      <c r="N4" s="228"/>
      <c r="O4" s="228" t="s">
        <v>1</v>
      </c>
      <c r="P4" s="228"/>
      <c r="Q4" s="228"/>
      <c r="R4" s="228"/>
      <c r="S4" s="226" t="s">
        <v>19</v>
      </c>
      <c r="T4" s="226" t="s">
        <v>20</v>
      </c>
      <c r="V4" s="226" t="s">
        <v>77</v>
      </c>
      <c r="W4" s="226" t="s">
        <v>78</v>
      </c>
    </row>
    <row r="5" spans="1:23" s="71" customFormat="1" ht="88.5" customHeight="1" x14ac:dyDescent="0.5">
      <c r="A5" s="225"/>
      <c r="B5" s="226"/>
      <c r="C5" s="226"/>
      <c r="D5" s="227"/>
      <c r="E5" s="225"/>
      <c r="F5" s="226"/>
      <c r="G5" s="226"/>
      <c r="H5" s="226"/>
      <c r="I5" s="104" t="s">
        <v>9</v>
      </c>
      <c r="J5" s="104" t="s">
        <v>10</v>
      </c>
      <c r="K5" s="104" t="s">
        <v>11</v>
      </c>
      <c r="L5" s="104" t="s">
        <v>12</v>
      </c>
      <c r="M5" s="104" t="s">
        <v>14</v>
      </c>
      <c r="N5" s="104" t="s">
        <v>15</v>
      </c>
      <c r="O5" s="104" t="s">
        <v>16</v>
      </c>
      <c r="P5" s="104" t="s">
        <v>17</v>
      </c>
      <c r="Q5" s="104" t="s">
        <v>18</v>
      </c>
      <c r="R5" s="104" t="s">
        <v>14</v>
      </c>
      <c r="S5" s="226"/>
      <c r="T5" s="226"/>
      <c r="V5" s="226"/>
      <c r="W5" s="226"/>
    </row>
    <row r="6" spans="1:23" ht="45.65" customHeight="1" x14ac:dyDescent="0.55000000000000004">
      <c r="A6" s="105">
        <v>1</v>
      </c>
      <c r="B6" s="106">
        <v>1001</v>
      </c>
      <c r="C6" s="120" t="s">
        <v>29</v>
      </c>
      <c r="D6" s="121"/>
      <c r="E6" s="120" t="s">
        <v>79</v>
      </c>
      <c r="F6" s="106">
        <v>575</v>
      </c>
      <c r="G6" s="110">
        <v>26</v>
      </c>
      <c r="H6" s="110">
        <v>0</v>
      </c>
      <c r="I6" s="111">
        <f t="shared" ref="I6:I63" si="0">F6/26*G6</f>
        <v>575</v>
      </c>
      <c r="J6" s="111">
        <v>0</v>
      </c>
      <c r="K6" s="111">
        <v>0</v>
      </c>
      <c r="L6" s="111">
        <v>0</v>
      </c>
      <c r="M6" s="111">
        <v>0</v>
      </c>
      <c r="N6" s="111">
        <f>I6+J6+K6+L6+M6</f>
        <v>575</v>
      </c>
      <c r="O6" s="111">
        <v>0</v>
      </c>
      <c r="P6" s="111">
        <v>265.38499999999999</v>
      </c>
      <c r="Q6" s="111">
        <v>0</v>
      </c>
      <c r="R6" s="111">
        <v>0</v>
      </c>
      <c r="S6" s="112">
        <f>N6-O6-P6-Q6-R6</f>
        <v>309.61500000000001</v>
      </c>
      <c r="T6" s="51"/>
      <c r="V6" s="51"/>
      <c r="W6" s="51"/>
    </row>
    <row r="7" spans="1:23" ht="45.65" customHeight="1" x14ac:dyDescent="0.55000000000000004">
      <c r="A7" s="105">
        <v>2</v>
      </c>
      <c r="B7" s="106">
        <v>1002</v>
      </c>
      <c r="C7" s="120" t="s">
        <v>30</v>
      </c>
      <c r="D7" s="121"/>
      <c r="E7" s="120" t="s">
        <v>80</v>
      </c>
      <c r="F7" s="106">
        <v>100</v>
      </c>
      <c r="G7" s="110">
        <v>26</v>
      </c>
      <c r="H7" s="110">
        <v>0</v>
      </c>
      <c r="I7" s="111">
        <f t="shared" si="0"/>
        <v>100</v>
      </c>
      <c r="J7" s="111">
        <v>0</v>
      </c>
      <c r="K7" s="111">
        <v>0</v>
      </c>
      <c r="L7" s="111">
        <v>0</v>
      </c>
      <c r="M7" s="111">
        <v>0</v>
      </c>
      <c r="N7" s="111">
        <f t="shared" ref="N7:N63" si="1">I7+J7+K7+L7+M7</f>
        <v>100</v>
      </c>
      <c r="O7" s="111">
        <v>0</v>
      </c>
      <c r="P7" s="111">
        <v>0</v>
      </c>
      <c r="Q7" s="111">
        <v>0</v>
      </c>
      <c r="R7" s="111">
        <v>0</v>
      </c>
      <c r="S7" s="112">
        <f>N7-O7-P7-Q7-R7</f>
        <v>100</v>
      </c>
      <c r="T7" s="51"/>
      <c r="V7" s="51"/>
      <c r="W7" s="51"/>
    </row>
    <row r="8" spans="1:23" ht="45.65" customHeight="1" x14ac:dyDescent="0.55000000000000004">
      <c r="A8" s="105">
        <v>3</v>
      </c>
      <c r="B8" s="113">
        <v>1003</v>
      </c>
      <c r="C8" s="122" t="s">
        <v>31</v>
      </c>
      <c r="D8" s="121"/>
      <c r="E8" s="122" t="s">
        <v>81</v>
      </c>
      <c r="F8" s="113">
        <v>170</v>
      </c>
      <c r="G8" s="110">
        <v>26</v>
      </c>
      <c r="H8" s="110">
        <v>0</v>
      </c>
      <c r="I8" s="111">
        <f t="shared" si="0"/>
        <v>170</v>
      </c>
      <c r="J8" s="111">
        <v>0</v>
      </c>
      <c r="K8" s="111">
        <v>0</v>
      </c>
      <c r="L8" s="111">
        <v>0</v>
      </c>
      <c r="M8" s="111">
        <v>0</v>
      </c>
      <c r="N8" s="111">
        <f t="shared" si="1"/>
        <v>170</v>
      </c>
      <c r="O8" s="111">
        <v>0</v>
      </c>
      <c r="P8" s="111">
        <v>0</v>
      </c>
      <c r="Q8" s="111">
        <v>0</v>
      </c>
      <c r="R8" s="111">
        <v>0</v>
      </c>
      <c r="S8" s="112">
        <f t="shared" ref="S8:S63" si="2">N8-O8-P8-Q8-R8</f>
        <v>170</v>
      </c>
      <c r="T8" s="52"/>
      <c r="V8" s="52"/>
      <c r="W8" s="52"/>
    </row>
    <row r="9" spans="1:23" ht="45.65" customHeight="1" x14ac:dyDescent="0.55000000000000004">
      <c r="A9" s="105">
        <v>4</v>
      </c>
      <c r="B9" s="106">
        <v>1004</v>
      </c>
      <c r="C9" s="120" t="s">
        <v>32</v>
      </c>
      <c r="D9" s="121"/>
      <c r="E9" s="120" t="s">
        <v>82</v>
      </c>
      <c r="F9" s="106">
        <v>500</v>
      </c>
      <c r="G9" s="110">
        <v>26</v>
      </c>
      <c r="H9" s="110">
        <v>0</v>
      </c>
      <c r="I9" s="111">
        <f t="shared" si="0"/>
        <v>500</v>
      </c>
      <c r="J9" s="111">
        <v>0</v>
      </c>
      <c r="K9" s="111">
        <v>0</v>
      </c>
      <c r="L9" s="111">
        <v>0</v>
      </c>
      <c r="M9" s="111">
        <v>0</v>
      </c>
      <c r="N9" s="111">
        <f t="shared" si="1"/>
        <v>500</v>
      </c>
      <c r="O9" s="111">
        <v>0</v>
      </c>
      <c r="P9" s="111">
        <v>0</v>
      </c>
      <c r="Q9" s="111">
        <v>0</v>
      </c>
      <c r="R9" s="111">
        <v>0</v>
      </c>
      <c r="S9" s="112">
        <f t="shared" si="2"/>
        <v>500</v>
      </c>
      <c r="T9" s="53"/>
      <c r="V9" s="53"/>
      <c r="W9" s="53"/>
    </row>
    <row r="10" spans="1:23" ht="45.65" customHeight="1" x14ac:dyDescent="0.55000000000000004">
      <c r="A10" s="105">
        <v>5</v>
      </c>
      <c r="B10" s="113">
        <v>1005</v>
      </c>
      <c r="C10" s="120" t="s">
        <v>33</v>
      </c>
      <c r="D10" s="121"/>
      <c r="E10" s="120"/>
      <c r="F10" s="106">
        <v>200</v>
      </c>
      <c r="G10" s="110">
        <v>26</v>
      </c>
      <c r="H10" s="110">
        <v>0</v>
      </c>
      <c r="I10" s="111">
        <f t="shared" ref="I10:I58" si="3">F10/26*G10</f>
        <v>200</v>
      </c>
      <c r="J10" s="111">
        <v>0</v>
      </c>
      <c r="K10" s="111">
        <v>0</v>
      </c>
      <c r="L10" s="111">
        <v>0</v>
      </c>
      <c r="M10" s="111">
        <v>0</v>
      </c>
      <c r="N10" s="111">
        <f t="shared" ref="N10:N58" si="4">I10+J10+K10+L10+M10</f>
        <v>200</v>
      </c>
      <c r="O10" s="111">
        <v>0</v>
      </c>
      <c r="P10" s="111">
        <v>0</v>
      </c>
      <c r="Q10" s="111">
        <v>0</v>
      </c>
      <c r="R10" s="111">
        <v>0</v>
      </c>
      <c r="S10" s="112">
        <f t="shared" ref="S10:S58" si="5">N10-O10-P10-Q10-R10</f>
        <v>200</v>
      </c>
      <c r="T10" s="53"/>
      <c r="V10" s="53"/>
      <c r="W10" s="53"/>
    </row>
    <row r="11" spans="1:23" ht="45.65" customHeight="1" x14ac:dyDescent="0.55000000000000004">
      <c r="A11" s="105">
        <v>6</v>
      </c>
      <c r="B11" s="106">
        <v>1006</v>
      </c>
      <c r="C11" s="120" t="s">
        <v>34</v>
      </c>
      <c r="D11" s="121"/>
      <c r="E11" s="120"/>
      <c r="F11" s="106">
        <v>75</v>
      </c>
      <c r="G11" s="110">
        <v>26</v>
      </c>
      <c r="H11" s="110">
        <v>0</v>
      </c>
      <c r="I11" s="111">
        <f t="shared" si="3"/>
        <v>75</v>
      </c>
      <c r="J11" s="111">
        <v>0</v>
      </c>
      <c r="K11" s="111">
        <v>0</v>
      </c>
      <c r="L11" s="111">
        <v>0</v>
      </c>
      <c r="M11" s="111">
        <v>0</v>
      </c>
      <c r="N11" s="111">
        <f t="shared" si="4"/>
        <v>75</v>
      </c>
      <c r="O11" s="111">
        <v>0</v>
      </c>
      <c r="P11" s="111">
        <v>0</v>
      </c>
      <c r="Q11" s="111">
        <v>0</v>
      </c>
      <c r="R11" s="111">
        <v>0</v>
      </c>
      <c r="S11" s="112">
        <f t="shared" si="5"/>
        <v>75</v>
      </c>
      <c r="T11" s="53"/>
      <c r="V11" s="53"/>
      <c r="W11" s="53"/>
    </row>
    <row r="12" spans="1:23" ht="45.65" customHeight="1" x14ac:dyDescent="0.55000000000000004">
      <c r="A12" s="105">
        <v>7</v>
      </c>
      <c r="B12" s="113">
        <v>1007</v>
      </c>
      <c r="C12" s="120" t="s">
        <v>35</v>
      </c>
      <c r="D12" s="121"/>
      <c r="E12" s="120" t="s">
        <v>83</v>
      </c>
      <c r="F12" s="106">
        <v>350</v>
      </c>
      <c r="G12" s="110">
        <v>26</v>
      </c>
      <c r="H12" s="110">
        <v>0</v>
      </c>
      <c r="I12" s="111">
        <f t="shared" si="3"/>
        <v>350</v>
      </c>
      <c r="J12" s="111">
        <v>0</v>
      </c>
      <c r="K12" s="111">
        <v>0</v>
      </c>
      <c r="L12" s="111">
        <v>0</v>
      </c>
      <c r="M12" s="111">
        <v>0</v>
      </c>
      <c r="N12" s="111">
        <f t="shared" si="4"/>
        <v>350</v>
      </c>
      <c r="O12" s="111">
        <v>0</v>
      </c>
      <c r="P12" s="111">
        <v>0</v>
      </c>
      <c r="Q12" s="111">
        <v>0</v>
      </c>
      <c r="R12" s="111">
        <v>0</v>
      </c>
      <c r="S12" s="112">
        <f t="shared" si="5"/>
        <v>350</v>
      </c>
      <c r="T12" s="53"/>
      <c r="V12" s="53"/>
      <c r="W12" s="53"/>
    </row>
    <row r="13" spans="1:23" ht="45.65" customHeight="1" x14ac:dyDescent="0.55000000000000004">
      <c r="A13" s="105">
        <v>8</v>
      </c>
      <c r="B13" s="106">
        <v>1008</v>
      </c>
      <c r="C13" s="120" t="s">
        <v>36</v>
      </c>
      <c r="D13" s="121"/>
      <c r="E13" s="120" t="s">
        <v>84</v>
      </c>
      <c r="F13" s="106">
        <v>456.9</v>
      </c>
      <c r="G13" s="110">
        <v>26</v>
      </c>
      <c r="H13" s="110">
        <v>0</v>
      </c>
      <c r="I13" s="111">
        <f t="shared" ref="I13:I48" si="6">F13/26*G13</f>
        <v>456.9</v>
      </c>
      <c r="J13" s="111">
        <v>0</v>
      </c>
      <c r="K13" s="111">
        <v>0</v>
      </c>
      <c r="L13" s="111">
        <v>0</v>
      </c>
      <c r="M13" s="111">
        <v>0</v>
      </c>
      <c r="N13" s="111">
        <f t="shared" ref="N13:N48" si="7">I13+J13+K13+L13+M13</f>
        <v>456.9</v>
      </c>
      <c r="O13" s="111">
        <v>0</v>
      </c>
      <c r="P13" s="111">
        <v>0.8</v>
      </c>
      <c r="Q13" s="111">
        <v>0</v>
      </c>
      <c r="R13" s="111">
        <v>0</v>
      </c>
      <c r="S13" s="112">
        <f t="shared" ref="S13:S48" si="8">N13-O13-P13-Q13-R13</f>
        <v>456.09999999999997</v>
      </c>
      <c r="T13" s="53"/>
      <c r="V13" s="53"/>
      <c r="W13" s="53"/>
    </row>
    <row r="14" spans="1:23" ht="45.65" customHeight="1" x14ac:dyDescent="0.55000000000000004">
      <c r="A14" s="105">
        <v>9</v>
      </c>
      <c r="B14" s="113">
        <v>1009</v>
      </c>
      <c r="C14" s="120" t="s">
        <v>37</v>
      </c>
      <c r="D14" s="121"/>
      <c r="E14" s="120" t="s">
        <v>85</v>
      </c>
      <c r="F14" s="106">
        <v>560</v>
      </c>
      <c r="G14" s="110">
        <v>26</v>
      </c>
      <c r="H14" s="110">
        <v>0</v>
      </c>
      <c r="I14" s="111">
        <f t="shared" si="6"/>
        <v>560</v>
      </c>
      <c r="J14" s="111">
        <v>0</v>
      </c>
      <c r="K14" s="111">
        <v>0</v>
      </c>
      <c r="L14" s="111">
        <v>0</v>
      </c>
      <c r="M14" s="111">
        <v>0</v>
      </c>
      <c r="N14" s="111">
        <f t="shared" si="7"/>
        <v>560</v>
      </c>
      <c r="O14" s="111">
        <v>0</v>
      </c>
      <c r="P14" s="111">
        <v>4.0999999999999996</v>
      </c>
      <c r="Q14" s="111">
        <v>0</v>
      </c>
      <c r="R14" s="111">
        <v>0</v>
      </c>
      <c r="S14" s="112">
        <f t="shared" si="8"/>
        <v>555.9</v>
      </c>
      <c r="T14" s="53"/>
      <c r="V14" s="53"/>
      <c r="W14" s="53"/>
    </row>
    <row r="15" spans="1:23" ht="45.65" customHeight="1" x14ac:dyDescent="0.55000000000000004">
      <c r="A15" s="105">
        <v>10</v>
      </c>
      <c r="B15" s="106">
        <v>1010</v>
      </c>
      <c r="C15" s="120" t="s">
        <v>38</v>
      </c>
      <c r="D15" s="121"/>
      <c r="E15" s="120" t="s">
        <v>83</v>
      </c>
      <c r="F15" s="106">
        <v>300</v>
      </c>
      <c r="G15" s="110">
        <v>26</v>
      </c>
      <c r="H15" s="110">
        <v>0</v>
      </c>
      <c r="I15" s="111">
        <f t="shared" si="6"/>
        <v>300</v>
      </c>
      <c r="J15" s="111">
        <v>0</v>
      </c>
      <c r="K15" s="111">
        <v>0</v>
      </c>
      <c r="L15" s="111">
        <v>0</v>
      </c>
      <c r="M15" s="111">
        <v>0</v>
      </c>
      <c r="N15" s="111">
        <f t="shared" si="7"/>
        <v>300</v>
      </c>
      <c r="O15" s="111">
        <v>0</v>
      </c>
      <c r="P15" s="111">
        <v>0</v>
      </c>
      <c r="Q15" s="111">
        <v>0</v>
      </c>
      <c r="R15" s="111">
        <v>0</v>
      </c>
      <c r="S15" s="112">
        <f t="shared" si="8"/>
        <v>300</v>
      </c>
      <c r="T15" s="53"/>
      <c r="V15" s="53"/>
      <c r="W15" s="53"/>
    </row>
    <row r="16" spans="1:23" ht="45.65" customHeight="1" x14ac:dyDescent="0.55000000000000004">
      <c r="A16" s="105">
        <v>11</v>
      </c>
      <c r="B16" s="113">
        <v>1011</v>
      </c>
      <c r="C16" s="120" t="s">
        <v>39</v>
      </c>
      <c r="D16" s="121"/>
      <c r="E16" s="120" t="s">
        <v>86</v>
      </c>
      <c r="F16" s="106">
        <v>250</v>
      </c>
      <c r="G16" s="110">
        <v>26</v>
      </c>
      <c r="H16" s="110">
        <v>0</v>
      </c>
      <c r="I16" s="111">
        <f t="shared" si="6"/>
        <v>250</v>
      </c>
      <c r="J16" s="111">
        <v>0</v>
      </c>
      <c r="K16" s="111">
        <v>0</v>
      </c>
      <c r="L16" s="111">
        <v>0</v>
      </c>
      <c r="M16" s="111">
        <v>0</v>
      </c>
      <c r="N16" s="111">
        <f t="shared" si="7"/>
        <v>250</v>
      </c>
      <c r="O16" s="111">
        <v>0</v>
      </c>
      <c r="P16" s="111">
        <v>0</v>
      </c>
      <c r="Q16" s="111">
        <v>0</v>
      </c>
      <c r="R16" s="111">
        <v>0</v>
      </c>
      <c r="S16" s="112">
        <f t="shared" si="8"/>
        <v>250</v>
      </c>
      <c r="T16" s="53"/>
      <c r="V16" s="53"/>
      <c r="W16" s="53"/>
    </row>
    <row r="17" spans="1:23" ht="45.65" customHeight="1" x14ac:dyDescent="0.55000000000000004">
      <c r="A17" s="105">
        <v>12</v>
      </c>
      <c r="B17" s="106">
        <v>1012</v>
      </c>
      <c r="C17" s="120" t="s">
        <v>40</v>
      </c>
      <c r="D17" s="121"/>
      <c r="E17" s="120" t="s">
        <v>86</v>
      </c>
      <c r="F17" s="106">
        <v>250</v>
      </c>
      <c r="G17" s="110">
        <v>26</v>
      </c>
      <c r="H17" s="110">
        <v>0</v>
      </c>
      <c r="I17" s="111">
        <f t="shared" si="6"/>
        <v>250</v>
      </c>
      <c r="J17" s="111">
        <v>0</v>
      </c>
      <c r="K17" s="111">
        <v>0</v>
      </c>
      <c r="L17" s="111">
        <v>0</v>
      </c>
      <c r="M17" s="111">
        <v>0</v>
      </c>
      <c r="N17" s="111">
        <f t="shared" si="7"/>
        <v>250</v>
      </c>
      <c r="O17" s="111">
        <v>0</v>
      </c>
      <c r="P17" s="111">
        <v>0</v>
      </c>
      <c r="Q17" s="111">
        <v>0</v>
      </c>
      <c r="R17" s="111">
        <v>0</v>
      </c>
      <c r="S17" s="112">
        <f t="shared" si="8"/>
        <v>250</v>
      </c>
      <c r="T17" s="53"/>
      <c r="V17" s="53"/>
      <c r="W17" s="53"/>
    </row>
    <row r="18" spans="1:23" ht="45.65" customHeight="1" x14ac:dyDescent="0.55000000000000004">
      <c r="A18" s="105">
        <v>13</v>
      </c>
      <c r="B18" s="113">
        <v>1013</v>
      </c>
      <c r="C18" s="120" t="s">
        <v>41</v>
      </c>
      <c r="D18" s="121"/>
      <c r="E18" s="120" t="s">
        <v>86</v>
      </c>
      <c r="F18" s="106">
        <v>250</v>
      </c>
      <c r="G18" s="110">
        <v>26</v>
      </c>
      <c r="H18" s="110">
        <v>0</v>
      </c>
      <c r="I18" s="111">
        <f t="shared" si="6"/>
        <v>250</v>
      </c>
      <c r="J18" s="111">
        <v>0</v>
      </c>
      <c r="K18" s="111">
        <v>0</v>
      </c>
      <c r="L18" s="111">
        <v>0</v>
      </c>
      <c r="M18" s="111">
        <v>0</v>
      </c>
      <c r="N18" s="111">
        <f t="shared" si="7"/>
        <v>250</v>
      </c>
      <c r="O18" s="111">
        <v>0</v>
      </c>
      <c r="P18" s="111">
        <v>0</v>
      </c>
      <c r="Q18" s="111">
        <v>0</v>
      </c>
      <c r="R18" s="111">
        <v>0</v>
      </c>
      <c r="S18" s="112">
        <f t="shared" si="8"/>
        <v>250</v>
      </c>
      <c r="T18" s="53"/>
      <c r="V18" s="53"/>
      <c r="W18" s="53"/>
    </row>
    <row r="19" spans="1:23" ht="45.65" customHeight="1" x14ac:dyDescent="0.55000000000000004">
      <c r="A19" s="105">
        <v>14</v>
      </c>
      <c r="B19" s="106">
        <v>1014</v>
      </c>
      <c r="C19" s="120" t="s">
        <v>42</v>
      </c>
      <c r="D19" s="121"/>
      <c r="E19" s="120" t="s">
        <v>87</v>
      </c>
      <c r="F19" s="106">
        <v>370</v>
      </c>
      <c r="G19" s="110">
        <v>26</v>
      </c>
      <c r="H19" s="110">
        <v>0</v>
      </c>
      <c r="I19" s="111">
        <f t="shared" si="6"/>
        <v>370</v>
      </c>
      <c r="J19" s="111">
        <v>0</v>
      </c>
      <c r="K19" s="111">
        <v>0</v>
      </c>
      <c r="L19" s="111">
        <v>0</v>
      </c>
      <c r="M19" s="111">
        <v>0</v>
      </c>
      <c r="N19" s="111">
        <f t="shared" si="7"/>
        <v>370</v>
      </c>
      <c r="O19" s="111">
        <v>0</v>
      </c>
      <c r="P19" s="111">
        <v>0</v>
      </c>
      <c r="Q19" s="111">
        <v>0</v>
      </c>
      <c r="R19" s="111">
        <v>0</v>
      </c>
      <c r="S19" s="112">
        <f t="shared" si="8"/>
        <v>370</v>
      </c>
      <c r="T19" s="53"/>
      <c r="V19" s="53"/>
      <c r="W19" s="53"/>
    </row>
    <row r="20" spans="1:23" ht="45.65" customHeight="1" x14ac:dyDescent="0.55000000000000004">
      <c r="A20" s="105">
        <v>15</v>
      </c>
      <c r="B20" s="113">
        <v>1015</v>
      </c>
      <c r="C20" s="120" t="s">
        <v>43</v>
      </c>
      <c r="D20" s="121"/>
      <c r="E20" s="120" t="s">
        <v>88</v>
      </c>
      <c r="F20" s="106">
        <v>430</v>
      </c>
      <c r="G20" s="110">
        <v>26</v>
      </c>
      <c r="H20" s="110">
        <v>0</v>
      </c>
      <c r="I20" s="111">
        <f t="shared" si="6"/>
        <v>430.00000000000006</v>
      </c>
      <c r="J20" s="111">
        <v>0</v>
      </c>
      <c r="K20" s="111">
        <v>0</v>
      </c>
      <c r="L20" s="111">
        <v>0</v>
      </c>
      <c r="M20" s="111">
        <v>0</v>
      </c>
      <c r="N20" s="111">
        <f t="shared" si="7"/>
        <v>430.00000000000006</v>
      </c>
      <c r="O20" s="111">
        <v>0</v>
      </c>
      <c r="P20" s="111">
        <v>0</v>
      </c>
      <c r="Q20" s="111">
        <v>0</v>
      </c>
      <c r="R20" s="111">
        <v>0</v>
      </c>
      <c r="S20" s="112">
        <f t="shared" si="8"/>
        <v>430.00000000000006</v>
      </c>
      <c r="T20" s="53" t="s">
        <v>176</v>
      </c>
      <c r="V20" s="119">
        <v>600</v>
      </c>
      <c r="W20" s="118">
        <f>S20-V20</f>
        <v>-169.99999999999994</v>
      </c>
    </row>
    <row r="21" spans="1:23" ht="45.65" customHeight="1" x14ac:dyDescent="0.55000000000000004">
      <c r="A21" s="105">
        <v>16</v>
      </c>
      <c r="B21" s="106">
        <v>1016</v>
      </c>
      <c r="C21" s="120" t="s">
        <v>44</v>
      </c>
      <c r="D21" s="121"/>
      <c r="E21" s="120" t="s">
        <v>89</v>
      </c>
      <c r="F21" s="106">
        <v>150</v>
      </c>
      <c r="G21" s="110">
        <v>26</v>
      </c>
      <c r="H21" s="110">
        <v>0</v>
      </c>
      <c r="I21" s="111">
        <f t="shared" si="6"/>
        <v>150</v>
      </c>
      <c r="J21" s="111">
        <v>0</v>
      </c>
      <c r="K21" s="111">
        <v>0</v>
      </c>
      <c r="L21" s="111">
        <v>0</v>
      </c>
      <c r="M21" s="111">
        <v>0</v>
      </c>
      <c r="N21" s="111">
        <f t="shared" si="7"/>
        <v>150</v>
      </c>
      <c r="O21" s="111">
        <v>0</v>
      </c>
      <c r="P21" s="111">
        <v>0</v>
      </c>
      <c r="Q21" s="111">
        <v>0</v>
      </c>
      <c r="R21" s="111">
        <v>0</v>
      </c>
      <c r="S21" s="112">
        <f t="shared" si="8"/>
        <v>150</v>
      </c>
      <c r="T21" s="53"/>
      <c r="V21" s="53"/>
      <c r="W21" s="53"/>
    </row>
    <row r="22" spans="1:23" ht="45.65" customHeight="1" x14ac:dyDescent="0.55000000000000004">
      <c r="A22" s="105">
        <v>17</v>
      </c>
      <c r="B22" s="113">
        <v>1017</v>
      </c>
      <c r="C22" s="120" t="s">
        <v>45</v>
      </c>
      <c r="D22" s="121"/>
      <c r="E22" s="120" t="s">
        <v>90</v>
      </c>
      <c r="F22" s="106">
        <v>170</v>
      </c>
      <c r="G22" s="110">
        <v>26</v>
      </c>
      <c r="H22" s="110">
        <v>0</v>
      </c>
      <c r="I22" s="111">
        <f t="shared" si="6"/>
        <v>170</v>
      </c>
      <c r="J22" s="111">
        <v>0</v>
      </c>
      <c r="K22" s="111">
        <v>0</v>
      </c>
      <c r="L22" s="111">
        <v>0</v>
      </c>
      <c r="M22" s="111">
        <v>0</v>
      </c>
      <c r="N22" s="111">
        <f t="shared" si="7"/>
        <v>170</v>
      </c>
      <c r="O22" s="111">
        <v>0</v>
      </c>
      <c r="P22" s="111">
        <v>0</v>
      </c>
      <c r="Q22" s="111">
        <v>0</v>
      </c>
      <c r="R22" s="111">
        <v>0</v>
      </c>
      <c r="S22" s="112">
        <f t="shared" si="8"/>
        <v>170</v>
      </c>
      <c r="T22" s="53"/>
      <c r="V22" s="53"/>
      <c r="W22" s="53"/>
    </row>
    <row r="23" spans="1:23" ht="45.65" customHeight="1" x14ac:dyDescent="0.55000000000000004">
      <c r="A23" s="105">
        <v>18</v>
      </c>
      <c r="B23" s="106">
        <v>1018</v>
      </c>
      <c r="C23" s="120" t="s">
        <v>46</v>
      </c>
      <c r="D23" s="121"/>
      <c r="E23" s="120" t="s">
        <v>86</v>
      </c>
      <c r="F23" s="106">
        <v>250</v>
      </c>
      <c r="G23" s="110">
        <v>26</v>
      </c>
      <c r="H23" s="110">
        <v>0</v>
      </c>
      <c r="I23" s="111">
        <f t="shared" si="6"/>
        <v>250</v>
      </c>
      <c r="J23" s="111">
        <v>0</v>
      </c>
      <c r="K23" s="111">
        <v>0</v>
      </c>
      <c r="L23" s="111">
        <v>0</v>
      </c>
      <c r="M23" s="111">
        <v>0</v>
      </c>
      <c r="N23" s="111">
        <f t="shared" si="7"/>
        <v>250</v>
      </c>
      <c r="O23" s="111">
        <v>0</v>
      </c>
      <c r="P23" s="111">
        <v>0</v>
      </c>
      <c r="Q23" s="111">
        <v>0</v>
      </c>
      <c r="R23" s="111">
        <v>0</v>
      </c>
      <c r="S23" s="112">
        <f t="shared" si="8"/>
        <v>250</v>
      </c>
      <c r="T23" s="53"/>
      <c r="V23" s="53"/>
      <c r="W23" s="53"/>
    </row>
    <row r="24" spans="1:23" ht="45.65" customHeight="1" x14ac:dyDescent="0.55000000000000004">
      <c r="A24" s="105">
        <v>19</v>
      </c>
      <c r="B24" s="113">
        <v>1019</v>
      </c>
      <c r="C24" s="120" t="s">
        <v>47</v>
      </c>
      <c r="D24" s="121"/>
      <c r="E24" s="120" t="s">
        <v>86</v>
      </c>
      <c r="F24" s="106">
        <v>250</v>
      </c>
      <c r="G24" s="110">
        <v>26</v>
      </c>
      <c r="H24" s="110">
        <v>0</v>
      </c>
      <c r="I24" s="111">
        <f t="shared" si="6"/>
        <v>250</v>
      </c>
      <c r="J24" s="111">
        <v>0</v>
      </c>
      <c r="K24" s="111">
        <v>0</v>
      </c>
      <c r="L24" s="111">
        <v>0</v>
      </c>
      <c r="M24" s="111">
        <v>0</v>
      </c>
      <c r="N24" s="111">
        <f t="shared" si="7"/>
        <v>250</v>
      </c>
      <c r="O24" s="111">
        <v>0</v>
      </c>
      <c r="P24" s="111">
        <v>0</v>
      </c>
      <c r="Q24" s="111">
        <v>0</v>
      </c>
      <c r="R24" s="111">
        <v>0</v>
      </c>
      <c r="S24" s="112">
        <f t="shared" si="8"/>
        <v>250</v>
      </c>
      <c r="T24" s="53"/>
      <c r="V24" s="53"/>
      <c r="W24" s="53"/>
    </row>
    <row r="25" spans="1:23" ht="45.65" customHeight="1" x14ac:dyDescent="0.55000000000000004">
      <c r="A25" s="105">
        <v>20</v>
      </c>
      <c r="B25" s="106">
        <v>1020</v>
      </c>
      <c r="C25" s="120" t="s">
        <v>48</v>
      </c>
      <c r="D25" s="121"/>
      <c r="E25" s="120" t="s">
        <v>91</v>
      </c>
      <c r="F25" s="106">
        <v>450</v>
      </c>
      <c r="G25" s="110">
        <v>26</v>
      </c>
      <c r="H25" s="110">
        <v>0</v>
      </c>
      <c r="I25" s="111">
        <f t="shared" si="6"/>
        <v>450</v>
      </c>
      <c r="J25" s="111">
        <v>0</v>
      </c>
      <c r="K25" s="111">
        <v>0</v>
      </c>
      <c r="L25" s="111">
        <v>0</v>
      </c>
      <c r="M25" s="111">
        <v>0</v>
      </c>
      <c r="N25" s="111">
        <f t="shared" si="7"/>
        <v>450</v>
      </c>
      <c r="O25" s="111">
        <v>0</v>
      </c>
      <c r="P25" s="111">
        <v>0</v>
      </c>
      <c r="Q25" s="111">
        <v>0</v>
      </c>
      <c r="R25" s="111">
        <v>0</v>
      </c>
      <c r="S25" s="112">
        <f t="shared" si="8"/>
        <v>450</v>
      </c>
      <c r="T25" s="53"/>
      <c r="V25" s="53"/>
      <c r="W25" s="53"/>
    </row>
    <row r="26" spans="1:23" ht="45.65" customHeight="1" x14ac:dyDescent="0.55000000000000004">
      <c r="A26" s="105">
        <v>21</v>
      </c>
      <c r="B26" s="113">
        <v>1021</v>
      </c>
      <c r="C26" s="120" t="s">
        <v>49</v>
      </c>
      <c r="D26" s="121"/>
      <c r="E26" s="120" t="s">
        <v>92</v>
      </c>
      <c r="F26" s="106">
        <v>150</v>
      </c>
      <c r="G26" s="110">
        <v>26</v>
      </c>
      <c r="H26" s="110">
        <v>0</v>
      </c>
      <c r="I26" s="111">
        <f t="shared" si="6"/>
        <v>150</v>
      </c>
      <c r="J26" s="111">
        <v>0</v>
      </c>
      <c r="K26" s="111">
        <v>0</v>
      </c>
      <c r="L26" s="111">
        <v>0</v>
      </c>
      <c r="M26" s="111">
        <v>0</v>
      </c>
      <c r="N26" s="111">
        <f t="shared" si="7"/>
        <v>150</v>
      </c>
      <c r="O26" s="111">
        <v>0</v>
      </c>
      <c r="P26" s="111">
        <v>0</v>
      </c>
      <c r="Q26" s="111">
        <v>0</v>
      </c>
      <c r="R26" s="111">
        <v>0</v>
      </c>
      <c r="S26" s="112">
        <f t="shared" si="8"/>
        <v>150</v>
      </c>
      <c r="T26" s="53"/>
      <c r="V26" s="53"/>
      <c r="W26" s="53"/>
    </row>
    <row r="27" spans="1:23" ht="45.65" customHeight="1" x14ac:dyDescent="0.55000000000000004">
      <c r="A27" s="105">
        <v>22</v>
      </c>
      <c r="B27" s="106">
        <v>1022</v>
      </c>
      <c r="C27" s="120" t="s">
        <v>50</v>
      </c>
      <c r="D27" s="121"/>
      <c r="E27" s="120" t="s">
        <v>93</v>
      </c>
      <c r="F27" s="106">
        <v>150</v>
      </c>
      <c r="G27" s="110">
        <v>26</v>
      </c>
      <c r="H27" s="110">
        <v>0</v>
      </c>
      <c r="I27" s="111">
        <f t="shared" si="6"/>
        <v>150</v>
      </c>
      <c r="J27" s="111">
        <v>0</v>
      </c>
      <c r="K27" s="111">
        <v>0</v>
      </c>
      <c r="L27" s="111">
        <v>0</v>
      </c>
      <c r="M27" s="111">
        <v>0</v>
      </c>
      <c r="N27" s="111">
        <f t="shared" si="7"/>
        <v>150</v>
      </c>
      <c r="O27" s="111">
        <v>0</v>
      </c>
      <c r="P27" s="111">
        <v>0</v>
      </c>
      <c r="Q27" s="111">
        <v>0</v>
      </c>
      <c r="R27" s="111">
        <v>0</v>
      </c>
      <c r="S27" s="112">
        <f t="shared" si="8"/>
        <v>150</v>
      </c>
      <c r="T27" s="53"/>
      <c r="V27" s="53"/>
      <c r="W27" s="53"/>
    </row>
    <row r="28" spans="1:23" ht="45.65" customHeight="1" x14ac:dyDescent="0.55000000000000004">
      <c r="A28" s="105">
        <v>23</v>
      </c>
      <c r="B28" s="113">
        <v>1023</v>
      </c>
      <c r="C28" s="120" t="s">
        <v>51</v>
      </c>
      <c r="D28" s="121"/>
      <c r="E28" s="120" t="s">
        <v>93</v>
      </c>
      <c r="F28" s="106">
        <v>150</v>
      </c>
      <c r="G28" s="110">
        <v>26</v>
      </c>
      <c r="H28" s="110">
        <v>0</v>
      </c>
      <c r="I28" s="111">
        <f t="shared" si="6"/>
        <v>150</v>
      </c>
      <c r="J28" s="111">
        <v>0</v>
      </c>
      <c r="K28" s="111">
        <v>0</v>
      </c>
      <c r="L28" s="111">
        <v>0</v>
      </c>
      <c r="M28" s="111">
        <v>0</v>
      </c>
      <c r="N28" s="111">
        <f t="shared" si="7"/>
        <v>150</v>
      </c>
      <c r="O28" s="111">
        <v>0</v>
      </c>
      <c r="P28" s="111">
        <v>51.923000000000002</v>
      </c>
      <c r="Q28" s="111">
        <v>0</v>
      </c>
      <c r="R28" s="111">
        <v>0</v>
      </c>
      <c r="S28" s="112">
        <f t="shared" si="8"/>
        <v>98.076999999999998</v>
      </c>
      <c r="T28" s="53"/>
      <c r="V28" s="53"/>
      <c r="W28" s="53"/>
    </row>
    <row r="29" spans="1:23" ht="45.65" customHeight="1" x14ac:dyDescent="0.55000000000000004">
      <c r="A29" s="105">
        <v>24</v>
      </c>
      <c r="B29" s="106">
        <v>1024</v>
      </c>
      <c r="C29" s="120" t="s">
        <v>52</v>
      </c>
      <c r="D29" s="121"/>
      <c r="E29" s="120" t="s">
        <v>93</v>
      </c>
      <c r="F29" s="106">
        <v>150</v>
      </c>
      <c r="G29" s="110">
        <v>26</v>
      </c>
      <c r="H29" s="110">
        <v>0</v>
      </c>
      <c r="I29" s="111">
        <f t="shared" si="6"/>
        <v>150</v>
      </c>
      <c r="J29" s="111">
        <v>0</v>
      </c>
      <c r="K29" s="111">
        <v>0</v>
      </c>
      <c r="L29" s="111">
        <v>0</v>
      </c>
      <c r="M29" s="111">
        <v>0</v>
      </c>
      <c r="N29" s="111">
        <f t="shared" si="7"/>
        <v>150</v>
      </c>
      <c r="O29" s="111">
        <v>0</v>
      </c>
      <c r="P29" s="111">
        <v>0</v>
      </c>
      <c r="Q29" s="111">
        <v>0</v>
      </c>
      <c r="R29" s="111">
        <v>0</v>
      </c>
      <c r="S29" s="112">
        <f t="shared" si="8"/>
        <v>150</v>
      </c>
      <c r="T29" s="53"/>
      <c r="V29" s="53"/>
      <c r="W29" s="53"/>
    </row>
    <row r="30" spans="1:23" ht="45.65" customHeight="1" x14ac:dyDescent="0.55000000000000004">
      <c r="A30" s="105">
        <v>25</v>
      </c>
      <c r="B30" s="113">
        <v>1025</v>
      </c>
      <c r="C30" s="120" t="s">
        <v>53</v>
      </c>
      <c r="D30" s="121"/>
      <c r="E30" s="120" t="s">
        <v>93</v>
      </c>
      <c r="F30" s="106">
        <v>150</v>
      </c>
      <c r="G30" s="110">
        <v>26</v>
      </c>
      <c r="H30" s="110">
        <v>0</v>
      </c>
      <c r="I30" s="111">
        <f t="shared" si="6"/>
        <v>150</v>
      </c>
      <c r="J30" s="111">
        <v>0</v>
      </c>
      <c r="K30" s="111">
        <v>0</v>
      </c>
      <c r="L30" s="111">
        <v>0</v>
      </c>
      <c r="M30" s="111">
        <v>0</v>
      </c>
      <c r="N30" s="111">
        <f t="shared" si="7"/>
        <v>150</v>
      </c>
      <c r="O30" s="111">
        <v>0</v>
      </c>
      <c r="P30" s="111">
        <v>0</v>
      </c>
      <c r="Q30" s="111">
        <v>0</v>
      </c>
      <c r="R30" s="111">
        <v>0</v>
      </c>
      <c r="S30" s="112">
        <f t="shared" si="8"/>
        <v>150</v>
      </c>
      <c r="T30" s="53"/>
      <c r="V30" s="53"/>
      <c r="W30" s="53"/>
    </row>
    <row r="31" spans="1:23" ht="45.65" customHeight="1" x14ac:dyDescent="0.55000000000000004">
      <c r="A31" s="105">
        <v>26</v>
      </c>
      <c r="B31" s="106">
        <v>1026</v>
      </c>
      <c r="C31" s="120" t="s">
        <v>54</v>
      </c>
      <c r="D31" s="121"/>
      <c r="E31" s="120"/>
      <c r="F31" s="106">
        <v>420</v>
      </c>
      <c r="G31" s="110">
        <v>26</v>
      </c>
      <c r="H31" s="110">
        <v>0</v>
      </c>
      <c r="I31" s="111">
        <f t="shared" si="6"/>
        <v>420</v>
      </c>
      <c r="J31" s="111">
        <v>0</v>
      </c>
      <c r="K31" s="111">
        <v>0</v>
      </c>
      <c r="L31" s="111">
        <v>0</v>
      </c>
      <c r="M31" s="111">
        <v>0</v>
      </c>
      <c r="N31" s="111">
        <f t="shared" si="7"/>
        <v>420</v>
      </c>
      <c r="O31" s="111">
        <v>0</v>
      </c>
      <c r="P31" s="111">
        <v>0</v>
      </c>
      <c r="Q31" s="111">
        <v>0</v>
      </c>
      <c r="R31" s="111">
        <v>0</v>
      </c>
      <c r="S31" s="112">
        <f t="shared" si="8"/>
        <v>420</v>
      </c>
      <c r="T31" s="53"/>
      <c r="V31" s="53"/>
      <c r="W31" s="53"/>
    </row>
    <row r="32" spans="1:23" ht="45.65" customHeight="1" x14ac:dyDescent="0.55000000000000004">
      <c r="A32" s="105">
        <v>27</v>
      </c>
      <c r="B32" s="113">
        <v>1027</v>
      </c>
      <c r="C32" s="120" t="s">
        <v>55</v>
      </c>
      <c r="D32" s="121"/>
      <c r="E32" s="120" t="s">
        <v>85</v>
      </c>
      <c r="F32" s="106">
        <v>250</v>
      </c>
      <c r="G32" s="110">
        <v>26</v>
      </c>
      <c r="H32" s="110">
        <v>0</v>
      </c>
      <c r="I32" s="111">
        <f t="shared" si="6"/>
        <v>250</v>
      </c>
      <c r="J32" s="111">
        <v>0</v>
      </c>
      <c r="K32" s="111">
        <v>0</v>
      </c>
      <c r="L32" s="111">
        <v>0</v>
      </c>
      <c r="M32" s="111">
        <v>0</v>
      </c>
      <c r="N32" s="111">
        <f t="shared" si="7"/>
        <v>250</v>
      </c>
      <c r="O32" s="111">
        <v>0</v>
      </c>
      <c r="P32" s="111">
        <v>9.615384615384615</v>
      </c>
      <c r="Q32" s="111">
        <v>0</v>
      </c>
      <c r="R32" s="111">
        <v>0</v>
      </c>
      <c r="S32" s="112">
        <f t="shared" si="8"/>
        <v>240.38461538461539</v>
      </c>
      <c r="T32" s="53"/>
      <c r="V32" s="53"/>
      <c r="W32" s="53"/>
    </row>
    <row r="33" spans="1:23" ht="45.65" customHeight="1" x14ac:dyDescent="0.55000000000000004">
      <c r="A33" s="105">
        <v>28</v>
      </c>
      <c r="B33" s="106">
        <v>1028</v>
      </c>
      <c r="C33" s="120" t="s">
        <v>56</v>
      </c>
      <c r="D33" s="121"/>
      <c r="E33" s="120" t="s">
        <v>94</v>
      </c>
      <c r="F33" s="106">
        <v>250</v>
      </c>
      <c r="G33" s="110">
        <v>26</v>
      </c>
      <c r="H33" s="110">
        <v>0</v>
      </c>
      <c r="I33" s="111">
        <f t="shared" si="6"/>
        <v>250</v>
      </c>
      <c r="J33" s="111">
        <v>0</v>
      </c>
      <c r="K33" s="111">
        <v>0</v>
      </c>
      <c r="L33" s="111">
        <v>0</v>
      </c>
      <c r="M33" s="111">
        <v>0</v>
      </c>
      <c r="N33" s="111">
        <f t="shared" si="7"/>
        <v>250</v>
      </c>
      <c r="O33" s="111">
        <v>0</v>
      </c>
      <c r="P33" s="111">
        <v>0</v>
      </c>
      <c r="Q33" s="111">
        <v>0</v>
      </c>
      <c r="R33" s="111">
        <v>0</v>
      </c>
      <c r="S33" s="112">
        <f t="shared" si="8"/>
        <v>250</v>
      </c>
      <c r="T33" s="53" t="s">
        <v>176</v>
      </c>
      <c r="V33" s="53">
        <v>600</v>
      </c>
      <c r="W33" s="118">
        <f>S33-V33</f>
        <v>-350</v>
      </c>
    </row>
    <row r="34" spans="1:23" ht="45.65" customHeight="1" x14ac:dyDescent="0.55000000000000004">
      <c r="A34" s="105">
        <v>29</v>
      </c>
      <c r="B34" s="113">
        <v>1029</v>
      </c>
      <c r="C34" s="120" t="s">
        <v>57</v>
      </c>
      <c r="D34" s="121"/>
      <c r="E34" s="120" t="s">
        <v>95</v>
      </c>
      <c r="F34" s="106">
        <v>350</v>
      </c>
      <c r="G34" s="110">
        <v>26</v>
      </c>
      <c r="H34" s="110">
        <v>0</v>
      </c>
      <c r="I34" s="111">
        <f t="shared" si="6"/>
        <v>350</v>
      </c>
      <c r="J34" s="111">
        <v>0</v>
      </c>
      <c r="K34" s="111">
        <v>0</v>
      </c>
      <c r="L34" s="111">
        <v>0</v>
      </c>
      <c r="M34" s="111">
        <v>0</v>
      </c>
      <c r="N34" s="111">
        <f t="shared" si="7"/>
        <v>350</v>
      </c>
      <c r="O34" s="111">
        <v>0</v>
      </c>
      <c r="P34" s="111">
        <v>0</v>
      </c>
      <c r="Q34" s="111">
        <v>0</v>
      </c>
      <c r="R34" s="111">
        <v>0</v>
      </c>
      <c r="S34" s="112">
        <f t="shared" si="8"/>
        <v>350</v>
      </c>
      <c r="T34" s="53"/>
      <c r="V34" s="53"/>
      <c r="W34" s="53"/>
    </row>
    <row r="35" spans="1:23" ht="45.65" customHeight="1" x14ac:dyDescent="0.55000000000000004">
      <c r="A35" s="105">
        <v>30</v>
      </c>
      <c r="B35" s="106">
        <v>1030</v>
      </c>
      <c r="C35" s="120" t="s">
        <v>58</v>
      </c>
      <c r="D35" s="121"/>
      <c r="E35" s="120"/>
      <c r="F35" s="106">
        <v>400</v>
      </c>
      <c r="G35" s="110">
        <v>26</v>
      </c>
      <c r="H35" s="110">
        <v>0</v>
      </c>
      <c r="I35" s="111">
        <f t="shared" si="6"/>
        <v>400</v>
      </c>
      <c r="J35" s="111">
        <v>0</v>
      </c>
      <c r="K35" s="111">
        <v>0</v>
      </c>
      <c r="L35" s="111">
        <v>0</v>
      </c>
      <c r="M35" s="111">
        <v>0</v>
      </c>
      <c r="N35" s="111">
        <f t="shared" si="7"/>
        <v>400</v>
      </c>
      <c r="O35" s="111">
        <v>0</v>
      </c>
      <c r="P35" s="111">
        <v>0</v>
      </c>
      <c r="Q35" s="111">
        <v>0</v>
      </c>
      <c r="R35" s="111">
        <v>0</v>
      </c>
      <c r="S35" s="112">
        <f t="shared" si="8"/>
        <v>400</v>
      </c>
      <c r="T35" s="53"/>
      <c r="V35" s="53"/>
      <c r="W35" s="53"/>
    </row>
    <row r="36" spans="1:23" ht="45.65" customHeight="1" x14ac:dyDescent="0.55000000000000004">
      <c r="A36" s="105">
        <v>31</v>
      </c>
      <c r="B36" s="113">
        <v>1031</v>
      </c>
      <c r="C36" s="120" t="s">
        <v>59</v>
      </c>
      <c r="D36" s="121"/>
      <c r="E36" s="120" t="s">
        <v>83</v>
      </c>
      <c r="F36" s="106">
        <v>250</v>
      </c>
      <c r="G36" s="110">
        <v>26</v>
      </c>
      <c r="H36" s="110">
        <v>0</v>
      </c>
      <c r="I36" s="111">
        <f t="shared" si="6"/>
        <v>250</v>
      </c>
      <c r="J36" s="111">
        <v>0</v>
      </c>
      <c r="K36" s="111">
        <v>0</v>
      </c>
      <c r="L36" s="111">
        <v>0</v>
      </c>
      <c r="M36" s="111">
        <v>0</v>
      </c>
      <c r="N36" s="111">
        <f t="shared" si="7"/>
        <v>250</v>
      </c>
      <c r="O36" s="111">
        <v>0</v>
      </c>
      <c r="P36" s="111">
        <v>0</v>
      </c>
      <c r="Q36" s="111">
        <v>0</v>
      </c>
      <c r="R36" s="111">
        <v>0</v>
      </c>
      <c r="S36" s="112">
        <f t="shared" si="8"/>
        <v>250</v>
      </c>
      <c r="T36" s="53"/>
      <c r="V36" s="53"/>
      <c r="W36" s="53"/>
    </row>
    <row r="37" spans="1:23" ht="45.65" customHeight="1" x14ac:dyDescent="0.55000000000000004">
      <c r="A37" s="105">
        <v>32</v>
      </c>
      <c r="B37" s="106">
        <v>1032</v>
      </c>
      <c r="C37" s="120" t="s">
        <v>60</v>
      </c>
      <c r="D37" s="121"/>
      <c r="E37" s="120" t="s">
        <v>96</v>
      </c>
      <c r="F37" s="106">
        <v>350</v>
      </c>
      <c r="G37" s="110">
        <v>26</v>
      </c>
      <c r="H37" s="110">
        <v>0</v>
      </c>
      <c r="I37" s="111">
        <f t="shared" si="6"/>
        <v>350</v>
      </c>
      <c r="J37" s="111">
        <v>0</v>
      </c>
      <c r="K37" s="111">
        <v>0</v>
      </c>
      <c r="L37" s="111">
        <v>0</v>
      </c>
      <c r="M37" s="111">
        <v>0</v>
      </c>
      <c r="N37" s="111">
        <f t="shared" si="7"/>
        <v>350</v>
      </c>
      <c r="O37" s="111">
        <v>0</v>
      </c>
      <c r="P37" s="111">
        <v>0</v>
      </c>
      <c r="Q37" s="111">
        <v>0</v>
      </c>
      <c r="R37" s="111">
        <v>0</v>
      </c>
      <c r="S37" s="112">
        <f t="shared" si="8"/>
        <v>350</v>
      </c>
      <c r="T37" s="53"/>
      <c r="V37" s="53"/>
      <c r="W37" s="53"/>
    </row>
    <row r="38" spans="1:23" ht="45.65" customHeight="1" x14ac:dyDescent="0.55000000000000004">
      <c r="A38" s="105">
        <v>33</v>
      </c>
      <c r="B38" s="113">
        <v>1033</v>
      </c>
      <c r="C38" s="120" t="s">
        <v>61</v>
      </c>
      <c r="D38" s="121"/>
      <c r="E38" s="120" t="s">
        <v>95</v>
      </c>
      <c r="F38" s="106">
        <v>250</v>
      </c>
      <c r="G38" s="110">
        <v>26</v>
      </c>
      <c r="H38" s="110">
        <v>0</v>
      </c>
      <c r="I38" s="111">
        <f t="shared" si="6"/>
        <v>250</v>
      </c>
      <c r="J38" s="111">
        <v>0</v>
      </c>
      <c r="K38" s="111">
        <v>0</v>
      </c>
      <c r="L38" s="111">
        <v>0</v>
      </c>
      <c r="M38" s="111">
        <v>0</v>
      </c>
      <c r="N38" s="111">
        <f t="shared" si="7"/>
        <v>250</v>
      </c>
      <c r="O38" s="111">
        <v>0</v>
      </c>
      <c r="P38" s="111">
        <v>0</v>
      </c>
      <c r="Q38" s="111">
        <v>0</v>
      </c>
      <c r="R38" s="111">
        <v>0</v>
      </c>
      <c r="S38" s="112">
        <f t="shared" si="8"/>
        <v>250</v>
      </c>
      <c r="T38" s="53" t="s">
        <v>176</v>
      </c>
      <c r="V38" s="53">
        <v>600</v>
      </c>
      <c r="W38" s="118">
        <f>S38-V38</f>
        <v>-350</v>
      </c>
    </row>
    <row r="39" spans="1:23" ht="45.65" customHeight="1" x14ac:dyDescent="0.55000000000000004">
      <c r="A39" s="105">
        <v>34</v>
      </c>
      <c r="B39" s="106">
        <v>1034</v>
      </c>
      <c r="C39" s="120" t="s">
        <v>62</v>
      </c>
      <c r="D39" s="121"/>
      <c r="E39" s="120" t="s">
        <v>95</v>
      </c>
      <c r="F39" s="106">
        <v>250</v>
      </c>
      <c r="G39" s="110">
        <v>26</v>
      </c>
      <c r="H39" s="110">
        <v>0</v>
      </c>
      <c r="I39" s="111">
        <f t="shared" si="6"/>
        <v>250</v>
      </c>
      <c r="J39" s="111">
        <v>0</v>
      </c>
      <c r="K39" s="111">
        <v>0</v>
      </c>
      <c r="L39" s="111">
        <v>0</v>
      </c>
      <c r="M39" s="111">
        <v>0</v>
      </c>
      <c r="N39" s="111">
        <f t="shared" si="7"/>
        <v>250</v>
      </c>
      <c r="O39" s="111">
        <v>0</v>
      </c>
      <c r="P39" s="111">
        <v>0</v>
      </c>
      <c r="Q39" s="111">
        <v>0</v>
      </c>
      <c r="R39" s="111">
        <v>0</v>
      </c>
      <c r="S39" s="112">
        <f t="shared" si="8"/>
        <v>250</v>
      </c>
      <c r="T39" s="53"/>
      <c r="V39" s="53"/>
      <c r="W39" s="53"/>
    </row>
    <row r="40" spans="1:23" ht="45.65" customHeight="1" x14ac:dyDescent="0.55000000000000004">
      <c r="A40" s="105">
        <v>35</v>
      </c>
      <c r="B40" s="113">
        <v>1035</v>
      </c>
      <c r="C40" s="120" t="s">
        <v>63</v>
      </c>
      <c r="D40" s="121"/>
      <c r="E40" s="120" t="s">
        <v>83</v>
      </c>
      <c r="F40" s="106">
        <v>250</v>
      </c>
      <c r="G40" s="110">
        <v>26</v>
      </c>
      <c r="H40" s="110">
        <v>0</v>
      </c>
      <c r="I40" s="111">
        <f t="shared" si="6"/>
        <v>250</v>
      </c>
      <c r="J40" s="111">
        <v>0</v>
      </c>
      <c r="K40" s="111">
        <v>0</v>
      </c>
      <c r="L40" s="111">
        <v>0</v>
      </c>
      <c r="M40" s="111">
        <v>0</v>
      </c>
      <c r="N40" s="111">
        <f t="shared" si="7"/>
        <v>250</v>
      </c>
      <c r="O40" s="111">
        <v>0</v>
      </c>
      <c r="P40" s="111">
        <v>0</v>
      </c>
      <c r="Q40" s="111">
        <v>0</v>
      </c>
      <c r="R40" s="111">
        <v>0</v>
      </c>
      <c r="S40" s="112">
        <f t="shared" si="8"/>
        <v>250</v>
      </c>
      <c r="T40" s="53"/>
      <c r="V40" s="53"/>
      <c r="W40" s="53"/>
    </row>
    <row r="41" spans="1:23" ht="45.65" customHeight="1" x14ac:dyDescent="0.55000000000000004">
      <c r="A41" s="105">
        <v>36</v>
      </c>
      <c r="B41" s="106">
        <v>1036</v>
      </c>
      <c r="C41" s="120" t="s">
        <v>64</v>
      </c>
      <c r="D41" s="121"/>
      <c r="E41" s="120" t="s">
        <v>81</v>
      </c>
      <c r="F41" s="106">
        <v>120</v>
      </c>
      <c r="G41" s="110">
        <v>26</v>
      </c>
      <c r="H41" s="110">
        <v>0</v>
      </c>
      <c r="I41" s="111">
        <f t="shared" si="6"/>
        <v>119.99999999999999</v>
      </c>
      <c r="J41" s="111">
        <v>0</v>
      </c>
      <c r="K41" s="111">
        <v>0</v>
      </c>
      <c r="L41" s="111">
        <v>0</v>
      </c>
      <c r="M41" s="111">
        <v>0</v>
      </c>
      <c r="N41" s="111">
        <f t="shared" si="7"/>
        <v>119.99999999999999</v>
      </c>
      <c r="O41" s="111">
        <v>0</v>
      </c>
      <c r="P41" s="111">
        <v>0</v>
      </c>
      <c r="Q41" s="111">
        <v>0</v>
      </c>
      <c r="R41" s="111">
        <v>0</v>
      </c>
      <c r="S41" s="112">
        <f t="shared" si="8"/>
        <v>119.99999999999999</v>
      </c>
      <c r="T41" s="53"/>
      <c r="V41" s="53"/>
      <c r="W41" s="53"/>
    </row>
    <row r="42" spans="1:23" ht="45.65" customHeight="1" x14ac:dyDescent="0.55000000000000004">
      <c r="A42" s="105">
        <v>37</v>
      </c>
      <c r="B42" s="113">
        <v>1037</v>
      </c>
      <c r="C42" s="120" t="s">
        <v>65</v>
      </c>
      <c r="D42" s="121"/>
      <c r="E42" s="120"/>
      <c r="F42" s="106">
        <v>150</v>
      </c>
      <c r="G42" s="110">
        <v>26</v>
      </c>
      <c r="H42" s="110">
        <v>0</v>
      </c>
      <c r="I42" s="111">
        <f t="shared" si="6"/>
        <v>150</v>
      </c>
      <c r="J42" s="111">
        <v>0</v>
      </c>
      <c r="K42" s="111">
        <v>0</v>
      </c>
      <c r="L42" s="111">
        <v>0</v>
      </c>
      <c r="M42" s="111">
        <v>0</v>
      </c>
      <c r="N42" s="111">
        <f t="shared" si="7"/>
        <v>150</v>
      </c>
      <c r="O42" s="111">
        <v>0</v>
      </c>
      <c r="P42" s="111">
        <v>86.537999999999997</v>
      </c>
      <c r="Q42" s="111">
        <v>0</v>
      </c>
      <c r="R42" s="111">
        <v>0</v>
      </c>
      <c r="S42" s="112">
        <f t="shared" si="8"/>
        <v>63.462000000000003</v>
      </c>
      <c r="T42" s="53"/>
      <c r="V42" s="53"/>
      <c r="W42" s="53"/>
    </row>
    <row r="43" spans="1:23" ht="45.65" customHeight="1" x14ac:dyDescent="0.55000000000000004">
      <c r="A43" s="105">
        <v>38</v>
      </c>
      <c r="B43" s="106">
        <v>1038</v>
      </c>
      <c r="C43" s="120" t="s">
        <v>66</v>
      </c>
      <c r="D43" s="121"/>
      <c r="E43" s="120" t="s">
        <v>91</v>
      </c>
      <c r="F43" s="106">
        <v>150</v>
      </c>
      <c r="G43" s="110">
        <v>26</v>
      </c>
      <c r="H43" s="110">
        <v>0</v>
      </c>
      <c r="I43" s="111">
        <f t="shared" si="6"/>
        <v>150</v>
      </c>
      <c r="J43" s="111">
        <v>0</v>
      </c>
      <c r="K43" s="111">
        <v>0</v>
      </c>
      <c r="L43" s="111">
        <v>0</v>
      </c>
      <c r="M43" s="111">
        <v>0</v>
      </c>
      <c r="N43" s="111">
        <f t="shared" si="7"/>
        <v>150</v>
      </c>
      <c r="O43" s="111">
        <v>0</v>
      </c>
      <c r="P43" s="111">
        <v>0</v>
      </c>
      <c r="Q43" s="111">
        <v>0</v>
      </c>
      <c r="R43" s="111">
        <v>0</v>
      </c>
      <c r="S43" s="112">
        <f t="shared" si="8"/>
        <v>150</v>
      </c>
      <c r="T43" s="53"/>
      <c r="V43" s="53"/>
      <c r="W43" s="53"/>
    </row>
    <row r="44" spans="1:23" ht="45.65" customHeight="1" x14ac:dyDescent="0.55000000000000004">
      <c r="A44" s="105">
        <v>39</v>
      </c>
      <c r="B44" s="113">
        <v>1039</v>
      </c>
      <c r="C44" s="120" t="s">
        <v>67</v>
      </c>
      <c r="D44" s="121"/>
      <c r="E44" s="120"/>
      <c r="F44" s="106">
        <v>150</v>
      </c>
      <c r="G44" s="110">
        <v>26</v>
      </c>
      <c r="H44" s="110">
        <v>0</v>
      </c>
      <c r="I44" s="111">
        <f t="shared" si="6"/>
        <v>150</v>
      </c>
      <c r="J44" s="111">
        <v>0</v>
      </c>
      <c r="K44" s="111">
        <v>0</v>
      </c>
      <c r="L44" s="111">
        <v>0</v>
      </c>
      <c r="M44" s="111">
        <v>0</v>
      </c>
      <c r="N44" s="111">
        <f t="shared" si="7"/>
        <v>150</v>
      </c>
      <c r="O44" s="111">
        <v>0</v>
      </c>
      <c r="P44" s="111">
        <v>0</v>
      </c>
      <c r="Q44" s="111">
        <v>0</v>
      </c>
      <c r="R44" s="111">
        <v>0</v>
      </c>
      <c r="S44" s="112">
        <f t="shared" si="8"/>
        <v>150</v>
      </c>
      <c r="T44" s="53"/>
      <c r="V44" s="53"/>
      <c r="W44" s="53"/>
    </row>
    <row r="45" spans="1:23" ht="45.65" customHeight="1" x14ac:dyDescent="0.55000000000000004">
      <c r="A45" s="105">
        <v>40</v>
      </c>
      <c r="B45" s="106">
        <v>1040</v>
      </c>
      <c r="C45" s="120" t="s">
        <v>68</v>
      </c>
      <c r="D45" s="121"/>
      <c r="E45" s="120"/>
      <c r="F45" s="106">
        <v>400</v>
      </c>
      <c r="G45" s="110">
        <v>26</v>
      </c>
      <c r="H45" s="110">
        <v>0</v>
      </c>
      <c r="I45" s="111">
        <f t="shared" si="6"/>
        <v>400</v>
      </c>
      <c r="J45" s="111">
        <v>0</v>
      </c>
      <c r="K45" s="111">
        <v>0</v>
      </c>
      <c r="L45" s="111">
        <v>0</v>
      </c>
      <c r="M45" s="111">
        <v>0</v>
      </c>
      <c r="N45" s="111">
        <f t="shared" si="7"/>
        <v>400</v>
      </c>
      <c r="O45" s="111">
        <v>0</v>
      </c>
      <c r="P45" s="111">
        <v>0</v>
      </c>
      <c r="Q45" s="111">
        <v>0</v>
      </c>
      <c r="R45" s="111">
        <v>0</v>
      </c>
      <c r="S45" s="112">
        <f t="shared" si="8"/>
        <v>400</v>
      </c>
      <c r="T45" s="53" t="s">
        <v>176</v>
      </c>
      <c r="V45" s="53">
        <v>750</v>
      </c>
      <c r="W45" s="118">
        <f>S45-V45</f>
        <v>-350</v>
      </c>
    </row>
    <row r="46" spans="1:23" ht="45.65" customHeight="1" x14ac:dyDescent="0.55000000000000004">
      <c r="A46" s="105">
        <v>41</v>
      </c>
      <c r="B46" s="113">
        <v>1041</v>
      </c>
      <c r="C46" s="120" t="s">
        <v>69</v>
      </c>
      <c r="D46" s="121"/>
      <c r="E46" s="120"/>
      <c r="F46" s="106">
        <v>0</v>
      </c>
      <c r="G46" s="110">
        <v>26</v>
      </c>
      <c r="H46" s="110">
        <v>0</v>
      </c>
      <c r="I46" s="111">
        <f t="shared" si="6"/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f t="shared" si="7"/>
        <v>0</v>
      </c>
      <c r="O46" s="111">
        <v>0</v>
      </c>
      <c r="P46" s="111">
        <v>0</v>
      </c>
      <c r="Q46" s="111">
        <v>0</v>
      </c>
      <c r="R46" s="111">
        <v>0</v>
      </c>
      <c r="S46" s="112">
        <f t="shared" si="8"/>
        <v>0</v>
      </c>
      <c r="T46" s="53" t="s">
        <v>176</v>
      </c>
      <c r="V46" s="53">
        <v>350</v>
      </c>
      <c r="W46" s="118">
        <f t="shared" ref="W46:W50" si="9">S46-V46</f>
        <v>-350</v>
      </c>
    </row>
    <row r="47" spans="1:23" ht="45.65" customHeight="1" x14ac:dyDescent="0.55000000000000004">
      <c r="A47" s="105">
        <v>42</v>
      </c>
      <c r="B47" s="106">
        <v>1042</v>
      </c>
      <c r="C47" s="120" t="s">
        <v>70</v>
      </c>
      <c r="D47" s="121"/>
      <c r="E47" s="120"/>
      <c r="F47" s="106">
        <v>0</v>
      </c>
      <c r="G47" s="110">
        <v>26</v>
      </c>
      <c r="H47" s="110">
        <v>0</v>
      </c>
      <c r="I47" s="111">
        <f t="shared" si="6"/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f t="shared" si="7"/>
        <v>0</v>
      </c>
      <c r="O47" s="111">
        <v>0</v>
      </c>
      <c r="P47" s="111">
        <v>0</v>
      </c>
      <c r="Q47" s="111">
        <v>0</v>
      </c>
      <c r="R47" s="111">
        <v>0</v>
      </c>
      <c r="S47" s="112">
        <f t="shared" si="8"/>
        <v>0</v>
      </c>
      <c r="T47" s="53" t="s">
        <v>176</v>
      </c>
      <c r="V47" s="53">
        <v>300</v>
      </c>
      <c r="W47" s="118">
        <f t="shared" si="9"/>
        <v>-300</v>
      </c>
    </row>
    <row r="48" spans="1:23" ht="45.65" customHeight="1" x14ac:dyDescent="0.55000000000000004">
      <c r="A48" s="105">
        <v>43</v>
      </c>
      <c r="B48" s="113">
        <v>1043</v>
      </c>
      <c r="C48" s="120" t="s">
        <v>72</v>
      </c>
      <c r="D48" s="121"/>
      <c r="E48" s="120"/>
      <c r="F48" s="106">
        <v>0</v>
      </c>
      <c r="G48" s="110">
        <v>26</v>
      </c>
      <c r="H48" s="110">
        <v>0</v>
      </c>
      <c r="I48" s="111">
        <f t="shared" si="6"/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f t="shared" si="7"/>
        <v>0</v>
      </c>
      <c r="O48" s="111">
        <v>0</v>
      </c>
      <c r="P48" s="111">
        <v>0</v>
      </c>
      <c r="Q48" s="111">
        <v>0</v>
      </c>
      <c r="R48" s="111">
        <v>0</v>
      </c>
      <c r="S48" s="112">
        <f t="shared" si="8"/>
        <v>0</v>
      </c>
      <c r="T48" s="53" t="s">
        <v>176</v>
      </c>
      <c r="V48" s="53">
        <v>600</v>
      </c>
      <c r="W48" s="118">
        <f t="shared" si="9"/>
        <v>-600</v>
      </c>
    </row>
    <row r="49" spans="1:23" ht="45.65" customHeight="1" x14ac:dyDescent="0.55000000000000004">
      <c r="A49" s="105">
        <v>44</v>
      </c>
      <c r="B49" s="106">
        <v>1044</v>
      </c>
      <c r="C49" s="120" t="s">
        <v>71</v>
      </c>
      <c r="D49" s="121"/>
      <c r="E49" s="120"/>
      <c r="F49" s="106">
        <v>0</v>
      </c>
      <c r="G49" s="110">
        <v>26</v>
      </c>
      <c r="H49" s="110">
        <v>0</v>
      </c>
      <c r="I49" s="111">
        <f t="shared" si="3"/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f t="shared" si="4"/>
        <v>0</v>
      </c>
      <c r="O49" s="111">
        <v>0</v>
      </c>
      <c r="P49" s="111">
        <v>0</v>
      </c>
      <c r="Q49" s="111">
        <v>0</v>
      </c>
      <c r="R49" s="111">
        <v>0</v>
      </c>
      <c r="S49" s="112">
        <f t="shared" si="5"/>
        <v>0</v>
      </c>
      <c r="T49" s="53" t="s">
        <v>176</v>
      </c>
      <c r="V49" s="53">
        <v>150</v>
      </c>
      <c r="W49" s="118">
        <f t="shared" si="9"/>
        <v>-150</v>
      </c>
    </row>
    <row r="50" spans="1:23" ht="45.65" customHeight="1" thickBot="1" x14ac:dyDescent="0.6">
      <c r="A50" s="105">
        <v>45</v>
      </c>
      <c r="B50" s="113">
        <v>1045</v>
      </c>
      <c r="C50" s="120" t="s">
        <v>73</v>
      </c>
      <c r="D50" s="121"/>
      <c r="E50" s="120" t="s">
        <v>92</v>
      </c>
      <c r="F50" s="106">
        <v>0</v>
      </c>
      <c r="G50" s="110">
        <v>26</v>
      </c>
      <c r="H50" s="110">
        <v>0</v>
      </c>
      <c r="I50" s="111">
        <f t="shared" si="3"/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f t="shared" si="4"/>
        <v>0</v>
      </c>
      <c r="O50" s="111">
        <v>0</v>
      </c>
      <c r="P50" s="111">
        <v>0</v>
      </c>
      <c r="Q50" s="111">
        <v>0</v>
      </c>
      <c r="R50" s="111">
        <v>0</v>
      </c>
      <c r="S50" s="112">
        <f t="shared" si="5"/>
        <v>0</v>
      </c>
      <c r="T50" s="53" t="s">
        <v>176</v>
      </c>
      <c r="V50" s="53">
        <v>150</v>
      </c>
      <c r="W50" s="118">
        <f t="shared" si="9"/>
        <v>-150</v>
      </c>
    </row>
    <row r="51" spans="1:23" ht="45.65" hidden="1" customHeight="1" x14ac:dyDescent="0.55000000000000004">
      <c r="A51" s="105">
        <v>46</v>
      </c>
      <c r="B51" s="106">
        <v>1046</v>
      </c>
      <c r="C51" s="12"/>
      <c r="D51" s="19"/>
      <c r="E51" s="12"/>
      <c r="F51" s="11"/>
      <c r="G51" s="3">
        <v>26</v>
      </c>
      <c r="H51" s="27">
        <v>0</v>
      </c>
      <c r="I51" s="28">
        <f t="shared" si="3"/>
        <v>0</v>
      </c>
      <c r="J51" s="21">
        <v>0</v>
      </c>
      <c r="K51" s="21">
        <v>0</v>
      </c>
      <c r="L51" s="21">
        <v>0</v>
      </c>
      <c r="M51" s="21">
        <v>0</v>
      </c>
      <c r="N51" s="29">
        <f t="shared" si="4"/>
        <v>0</v>
      </c>
      <c r="O51" s="43">
        <v>0</v>
      </c>
      <c r="P51" s="21">
        <v>0</v>
      </c>
      <c r="Q51" s="21">
        <v>0</v>
      </c>
      <c r="R51" s="29">
        <v>0</v>
      </c>
      <c r="S51" s="49">
        <f t="shared" si="5"/>
        <v>0</v>
      </c>
      <c r="T51" s="53"/>
    </row>
    <row r="52" spans="1:23" ht="45.65" hidden="1" customHeight="1" x14ac:dyDescent="0.55000000000000004">
      <c r="A52" s="105">
        <v>47</v>
      </c>
      <c r="B52" s="113">
        <v>1047</v>
      </c>
      <c r="C52" s="12"/>
      <c r="D52" s="19"/>
      <c r="E52" s="12"/>
      <c r="F52" s="11"/>
      <c r="G52" s="3">
        <v>26</v>
      </c>
      <c r="H52" s="27">
        <v>0</v>
      </c>
      <c r="I52" s="28">
        <f t="shared" si="3"/>
        <v>0</v>
      </c>
      <c r="J52" s="21">
        <v>0</v>
      </c>
      <c r="K52" s="21">
        <v>0</v>
      </c>
      <c r="L52" s="21">
        <v>0</v>
      </c>
      <c r="M52" s="21">
        <v>0</v>
      </c>
      <c r="N52" s="29">
        <f t="shared" si="4"/>
        <v>0</v>
      </c>
      <c r="O52" s="43">
        <v>0</v>
      </c>
      <c r="P52" s="21">
        <v>0</v>
      </c>
      <c r="Q52" s="21">
        <v>0</v>
      </c>
      <c r="R52" s="29">
        <v>0</v>
      </c>
      <c r="S52" s="49">
        <f t="shared" si="5"/>
        <v>0</v>
      </c>
      <c r="T52" s="53"/>
    </row>
    <row r="53" spans="1:23" ht="45.65" hidden="1" customHeight="1" x14ac:dyDescent="0.55000000000000004">
      <c r="A53" s="105">
        <v>48</v>
      </c>
      <c r="B53" s="106">
        <v>1048</v>
      </c>
      <c r="C53" s="12"/>
      <c r="D53" s="19"/>
      <c r="E53" s="12"/>
      <c r="F53" s="11"/>
      <c r="G53" s="3">
        <v>26</v>
      </c>
      <c r="H53" s="27">
        <v>0</v>
      </c>
      <c r="I53" s="28">
        <f t="shared" si="3"/>
        <v>0</v>
      </c>
      <c r="J53" s="21">
        <v>0</v>
      </c>
      <c r="K53" s="21">
        <v>0</v>
      </c>
      <c r="L53" s="21">
        <v>0</v>
      </c>
      <c r="M53" s="21">
        <v>0</v>
      </c>
      <c r="N53" s="29">
        <f t="shared" si="4"/>
        <v>0</v>
      </c>
      <c r="O53" s="43">
        <v>0</v>
      </c>
      <c r="P53" s="21">
        <v>0</v>
      </c>
      <c r="Q53" s="21">
        <v>0</v>
      </c>
      <c r="R53" s="29">
        <v>0</v>
      </c>
      <c r="S53" s="49">
        <f t="shared" si="5"/>
        <v>0</v>
      </c>
      <c r="T53" s="53"/>
    </row>
    <row r="54" spans="1:23" ht="45.65" hidden="1" customHeight="1" x14ac:dyDescent="0.55000000000000004">
      <c r="A54" s="105">
        <v>49</v>
      </c>
      <c r="B54" s="113">
        <v>1049</v>
      </c>
      <c r="C54" s="12"/>
      <c r="D54" s="19"/>
      <c r="E54" s="12"/>
      <c r="F54" s="11"/>
      <c r="G54" s="3">
        <v>26</v>
      </c>
      <c r="H54" s="27">
        <v>0</v>
      </c>
      <c r="I54" s="28">
        <f t="shared" si="3"/>
        <v>0</v>
      </c>
      <c r="J54" s="21">
        <v>0</v>
      </c>
      <c r="K54" s="21">
        <v>0</v>
      </c>
      <c r="L54" s="21">
        <v>0</v>
      </c>
      <c r="M54" s="21">
        <v>0</v>
      </c>
      <c r="N54" s="29">
        <f t="shared" si="4"/>
        <v>0</v>
      </c>
      <c r="O54" s="43">
        <v>0</v>
      </c>
      <c r="P54" s="21">
        <v>0</v>
      </c>
      <c r="Q54" s="21">
        <v>0</v>
      </c>
      <c r="R54" s="29">
        <v>0</v>
      </c>
      <c r="S54" s="49">
        <f t="shared" si="5"/>
        <v>0</v>
      </c>
      <c r="T54" s="53"/>
    </row>
    <row r="55" spans="1:23" ht="45.65" hidden="1" customHeight="1" x14ac:dyDescent="0.55000000000000004">
      <c r="A55" s="105">
        <v>50</v>
      </c>
      <c r="B55" s="106">
        <v>1050</v>
      </c>
      <c r="C55" s="12"/>
      <c r="D55" s="19"/>
      <c r="E55" s="12"/>
      <c r="F55" s="11"/>
      <c r="G55" s="3">
        <v>26</v>
      </c>
      <c r="H55" s="27">
        <v>0</v>
      </c>
      <c r="I55" s="28">
        <f t="shared" si="3"/>
        <v>0</v>
      </c>
      <c r="J55" s="21">
        <v>0</v>
      </c>
      <c r="K55" s="21">
        <v>0</v>
      </c>
      <c r="L55" s="21">
        <v>0</v>
      </c>
      <c r="M55" s="21">
        <v>0</v>
      </c>
      <c r="N55" s="29">
        <f t="shared" si="4"/>
        <v>0</v>
      </c>
      <c r="O55" s="43">
        <v>0</v>
      </c>
      <c r="P55" s="21">
        <v>0</v>
      </c>
      <c r="Q55" s="21">
        <v>0</v>
      </c>
      <c r="R55" s="29">
        <v>0</v>
      </c>
      <c r="S55" s="49">
        <f t="shared" si="5"/>
        <v>0</v>
      </c>
      <c r="T55" s="53"/>
    </row>
    <row r="56" spans="1:23" ht="45.65" hidden="1" customHeight="1" x14ac:dyDescent="0.55000000000000004">
      <c r="A56" s="105">
        <v>51</v>
      </c>
      <c r="B56" s="113">
        <v>1051</v>
      </c>
      <c r="C56" s="12"/>
      <c r="D56" s="19"/>
      <c r="E56" s="12"/>
      <c r="F56" s="11"/>
      <c r="G56" s="3">
        <v>26</v>
      </c>
      <c r="H56" s="27">
        <v>0</v>
      </c>
      <c r="I56" s="28">
        <f t="shared" si="3"/>
        <v>0</v>
      </c>
      <c r="J56" s="21">
        <v>0</v>
      </c>
      <c r="K56" s="21">
        <v>0</v>
      </c>
      <c r="L56" s="21">
        <v>0</v>
      </c>
      <c r="M56" s="21">
        <v>0</v>
      </c>
      <c r="N56" s="29">
        <f t="shared" si="4"/>
        <v>0</v>
      </c>
      <c r="O56" s="43">
        <v>0</v>
      </c>
      <c r="P56" s="21">
        <v>0</v>
      </c>
      <c r="Q56" s="21">
        <v>0</v>
      </c>
      <c r="R56" s="29">
        <v>0</v>
      </c>
      <c r="S56" s="49">
        <f t="shared" si="5"/>
        <v>0</v>
      </c>
      <c r="T56" s="53"/>
    </row>
    <row r="57" spans="1:23" ht="45.65" hidden="1" customHeight="1" x14ac:dyDescent="0.55000000000000004">
      <c r="A57" s="105">
        <v>52</v>
      </c>
      <c r="B57" s="106">
        <v>1052</v>
      </c>
      <c r="C57" s="12"/>
      <c r="D57" s="19"/>
      <c r="E57" s="12"/>
      <c r="F57" s="11"/>
      <c r="G57" s="3">
        <v>26</v>
      </c>
      <c r="H57" s="27">
        <v>0</v>
      </c>
      <c r="I57" s="28">
        <f t="shared" si="3"/>
        <v>0</v>
      </c>
      <c r="J57" s="21">
        <v>0</v>
      </c>
      <c r="K57" s="21">
        <v>0</v>
      </c>
      <c r="L57" s="21">
        <v>0</v>
      </c>
      <c r="M57" s="21">
        <v>0</v>
      </c>
      <c r="N57" s="29">
        <f t="shared" si="4"/>
        <v>0</v>
      </c>
      <c r="O57" s="43">
        <v>0</v>
      </c>
      <c r="P57" s="21">
        <v>0</v>
      </c>
      <c r="Q57" s="21">
        <v>0</v>
      </c>
      <c r="R57" s="29">
        <v>0</v>
      </c>
      <c r="S57" s="49">
        <f t="shared" si="5"/>
        <v>0</v>
      </c>
      <c r="T57" s="53"/>
    </row>
    <row r="58" spans="1:23" ht="45.65" hidden="1" customHeight="1" x14ac:dyDescent="0.55000000000000004">
      <c r="A58" s="105">
        <v>53</v>
      </c>
      <c r="B58" s="113">
        <v>1053</v>
      </c>
      <c r="C58" s="12"/>
      <c r="D58" s="19"/>
      <c r="E58" s="12"/>
      <c r="F58" s="11"/>
      <c r="G58" s="3">
        <v>26</v>
      </c>
      <c r="H58" s="27">
        <v>0</v>
      </c>
      <c r="I58" s="28">
        <f t="shared" si="3"/>
        <v>0</v>
      </c>
      <c r="J58" s="21">
        <v>0</v>
      </c>
      <c r="K58" s="21">
        <v>0</v>
      </c>
      <c r="L58" s="21">
        <v>0</v>
      </c>
      <c r="M58" s="21">
        <v>0</v>
      </c>
      <c r="N58" s="29">
        <f t="shared" si="4"/>
        <v>0</v>
      </c>
      <c r="O58" s="43">
        <v>0</v>
      </c>
      <c r="P58" s="21">
        <v>0</v>
      </c>
      <c r="Q58" s="21">
        <v>0</v>
      </c>
      <c r="R58" s="29">
        <v>0</v>
      </c>
      <c r="S58" s="49">
        <f t="shared" si="5"/>
        <v>0</v>
      </c>
      <c r="T58" s="53"/>
    </row>
    <row r="59" spans="1:23" ht="45.65" hidden="1" customHeight="1" x14ac:dyDescent="0.55000000000000004">
      <c r="A59" s="105">
        <v>54</v>
      </c>
      <c r="B59" s="106">
        <v>1054</v>
      </c>
      <c r="C59" s="12"/>
      <c r="D59" s="19"/>
      <c r="E59" s="12"/>
      <c r="F59" s="11"/>
      <c r="G59" s="3">
        <v>26</v>
      </c>
      <c r="H59" s="27">
        <v>0</v>
      </c>
      <c r="I59" s="28">
        <f t="shared" si="0"/>
        <v>0</v>
      </c>
      <c r="J59" s="21">
        <v>0</v>
      </c>
      <c r="K59" s="21">
        <v>0</v>
      </c>
      <c r="L59" s="21">
        <v>0</v>
      </c>
      <c r="M59" s="21">
        <v>0</v>
      </c>
      <c r="N59" s="29">
        <f t="shared" si="1"/>
        <v>0</v>
      </c>
      <c r="O59" s="43">
        <v>0</v>
      </c>
      <c r="P59" s="21">
        <v>0</v>
      </c>
      <c r="Q59" s="21">
        <v>0</v>
      </c>
      <c r="R59" s="29">
        <v>0</v>
      </c>
      <c r="S59" s="49">
        <f t="shared" si="2"/>
        <v>0</v>
      </c>
      <c r="T59" s="53"/>
    </row>
    <row r="60" spans="1:23" ht="45.65" hidden="1" customHeight="1" x14ac:dyDescent="0.55000000000000004">
      <c r="A60" s="105">
        <v>55</v>
      </c>
      <c r="B60" s="113">
        <v>1055</v>
      </c>
      <c r="C60" s="12"/>
      <c r="D60" s="19"/>
      <c r="E60" s="12"/>
      <c r="F60" s="11"/>
      <c r="G60" s="3">
        <v>26</v>
      </c>
      <c r="H60" s="27">
        <v>0</v>
      </c>
      <c r="I60" s="28">
        <f t="shared" si="0"/>
        <v>0</v>
      </c>
      <c r="J60" s="21">
        <v>0</v>
      </c>
      <c r="K60" s="21">
        <v>0</v>
      </c>
      <c r="L60" s="21">
        <v>0</v>
      </c>
      <c r="M60" s="21">
        <v>0</v>
      </c>
      <c r="N60" s="29">
        <f t="shared" si="1"/>
        <v>0</v>
      </c>
      <c r="O60" s="43">
        <v>0</v>
      </c>
      <c r="P60" s="21">
        <v>0</v>
      </c>
      <c r="Q60" s="21">
        <v>0</v>
      </c>
      <c r="R60" s="29">
        <v>0</v>
      </c>
      <c r="S60" s="49">
        <f t="shared" si="2"/>
        <v>0</v>
      </c>
      <c r="T60" s="53"/>
    </row>
    <row r="61" spans="1:23" ht="45.65" hidden="1" customHeight="1" x14ac:dyDescent="0.55000000000000004">
      <c r="A61" s="105">
        <v>56</v>
      </c>
      <c r="B61" s="106">
        <v>1056</v>
      </c>
      <c r="C61" s="12"/>
      <c r="D61" s="19"/>
      <c r="E61" s="12"/>
      <c r="F61" s="11"/>
      <c r="G61" s="3">
        <v>26</v>
      </c>
      <c r="H61" s="27">
        <v>0</v>
      </c>
      <c r="I61" s="28">
        <f t="shared" si="0"/>
        <v>0</v>
      </c>
      <c r="J61" s="21">
        <v>0</v>
      </c>
      <c r="K61" s="21">
        <v>0</v>
      </c>
      <c r="L61" s="21">
        <v>0</v>
      </c>
      <c r="M61" s="21">
        <v>0</v>
      </c>
      <c r="N61" s="29">
        <f t="shared" si="1"/>
        <v>0</v>
      </c>
      <c r="O61" s="43">
        <v>0</v>
      </c>
      <c r="P61" s="21">
        <v>0</v>
      </c>
      <c r="Q61" s="21">
        <v>0</v>
      </c>
      <c r="R61" s="29">
        <v>0</v>
      </c>
      <c r="S61" s="49">
        <f t="shared" si="2"/>
        <v>0</v>
      </c>
      <c r="T61" s="53"/>
    </row>
    <row r="62" spans="1:23" ht="45.65" hidden="1" customHeight="1" x14ac:dyDescent="0.55000000000000004">
      <c r="A62" s="105">
        <v>57</v>
      </c>
      <c r="B62" s="113">
        <v>1057</v>
      </c>
      <c r="C62" s="12"/>
      <c r="D62" s="19"/>
      <c r="E62" s="12"/>
      <c r="F62" s="11"/>
      <c r="G62" s="3">
        <v>26</v>
      </c>
      <c r="H62" s="27">
        <v>0</v>
      </c>
      <c r="I62" s="28">
        <f t="shared" si="0"/>
        <v>0</v>
      </c>
      <c r="J62" s="21">
        <v>0</v>
      </c>
      <c r="K62" s="21">
        <v>0</v>
      </c>
      <c r="L62" s="21">
        <v>0</v>
      </c>
      <c r="M62" s="21">
        <v>0</v>
      </c>
      <c r="N62" s="29">
        <f t="shared" si="1"/>
        <v>0</v>
      </c>
      <c r="O62" s="43">
        <v>0</v>
      </c>
      <c r="P62" s="21">
        <v>0</v>
      </c>
      <c r="Q62" s="21">
        <v>0</v>
      </c>
      <c r="R62" s="29">
        <v>0</v>
      </c>
      <c r="S62" s="49">
        <f t="shared" si="2"/>
        <v>0</v>
      </c>
      <c r="T62" s="53"/>
    </row>
    <row r="63" spans="1:23" ht="45.65" hidden="1" customHeight="1" thickBot="1" x14ac:dyDescent="0.6">
      <c r="A63" s="105">
        <v>58</v>
      </c>
      <c r="B63" s="106">
        <v>1058</v>
      </c>
      <c r="C63" s="14"/>
      <c r="D63" s="38"/>
      <c r="E63" s="14"/>
      <c r="F63" s="37"/>
      <c r="G63" s="39">
        <v>26</v>
      </c>
      <c r="H63" s="42">
        <v>0</v>
      </c>
      <c r="I63" s="47">
        <f t="shared" si="0"/>
        <v>0</v>
      </c>
      <c r="J63" s="40">
        <v>0</v>
      </c>
      <c r="K63" s="40">
        <v>0</v>
      </c>
      <c r="L63" s="40">
        <v>0</v>
      </c>
      <c r="M63" s="40">
        <v>0</v>
      </c>
      <c r="N63" s="48">
        <f t="shared" si="1"/>
        <v>0</v>
      </c>
      <c r="O63" s="44">
        <v>0</v>
      </c>
      <c r="P63" s="40">
        <v>0</v>
      </c>
      <c r="Q63" s="40">
        <v>0</v>
      </c>
      <c r="R63" s="48">
        <v>0</v>
      </c>
      <c r="S63" s="50">
        <f t="shared" si="2"/>
        <v>0</v>
      </c>
      <c r="T63" s="125"/>
    </row>
    <row r="64" spans="1:23" ht="50.15" customHeight="1" thickBot="1" x14ac:dyDescent="0.45">
      <c r="A64" s="256" t="s">
        <v>0</v>
      </c>
      <c r="B64" s="257"/>
      <c r="C64" s="257"/>
      <c r="D64" s="257"/>
      <c r="E64" s="257"/>
      <c r="F64" s="257"/>
      <c r="G64" s="257"/>
      <c r="H64" s="258"/>
      <c r="I64" s="116">
        <f>SUBTOTAL(9,I6:I50)</f>
        <v>10846.9</v>
      </c>
      <c r="J64" s="116">
        <f t="shared" ref="J64:S64" si="10">SUBTOTAL(9,J6:J50)</f>
        <v>0</v>
      </c>
      <c r="K64" s="116">
        <f t="shared" si="10"/>
        <v>0</v>
      </c>
      <c r="L64" s="116">
        <f t="shared" si="10"/>
        <v>0</v>
      </c>
      <c r="M64" s="116">
        <f t="shared" si="10"/>
        <v>0</v>
      </c>
      <c r="N64" s="116">
        <f t="shared" si="10"/>
        <v>10846.9</v>
      </c>
      <c r="O64" s="116">
        <f t="shared" si="10"/>
        <v>0</v>
      </c>
      <c r="P64" s="116">
        <f t="shared" si="10"/>
        <v>418.36138461538468</v>
      </c>
      <c r="Q64" s="116">
        <f t="shared" si="10"/>
        <v>0</v>
      </c>
      <c r="R64" s="116">
        <f t="shared" si="10"/>
        <v>0</v>
      </c>
      <c r="S64" s="124">
        <f t="shared" si="10"/>
        <v>10428.538615384616</v>
      </c>
      <c r="T64" s="116"/>
      <c r="V64" s="116">
        <f t="shared" ref="V64:W64" si="11">SUBTOTAL(9,V6:V50)</f>
        <v>4100</v>
      </c>
      <c r="W64" s="116">
        <f t="shared" si="11"/>
        <v>-2770</v>
      </c>
    </row>
    <row r="69" spans="14:14" x14ac:dyDescent="0.4">
      <c r="N69" s="123"/>
    </row>
  </sheetData>
  <autoFilter ref="A5:W64" xr:uid="{00000000-0001-0000-0300-000000000000}"/>
  <mergeCells count="18">
    <mergeCell ref="S4:S5"/>
    <mergeCell ref="T4:T5"/>
    <mergeCell ref="A2:W2"/>
    <mergeCell ref="A3:W3"/>
    <mergeCell ref="A1:W1"/>
    <mergeCell ref="V4:V5"/>
    <mergeCell ref="W4:W5"/>
    <mergeCell ref="I4:N4"/>
    <mergeCell ref="O4:R4"/>
    <mergeCell ref="A64:H64"/>
    <mergeCell ref="A4:A5"/>
    <mergeCell ref="B4:B5"/>
    <mergeCell ref="C4:C5"/>
    <mergeCell ref="D4:D5"/>
    <mergeCell ref="E4:E5"/>
    <mergeCell ref="F4:F5"/>
    <mergeCell ref="G4:G5"/>
    <mergeCell ref="H4:H5"/>
  </mergeCells>
  <conditionalFormatting sqref="C6:C63">
    <cfRule type="duplicateValues" dxfId="22" priority="817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0678-6392-4E95-9C71-11F0B0860E0C}">
  <sheetPr>
    <pageSetUpPr fitToPage="1"/>
  </sheetPr>
  <dimension ref="A1:X60"/>
  <sheetViews>
    <sheetView zoomScale="60" zoomScaleNormal="60" workbookViewId="0">
      <pane ySplit="5" topLeftCell="A12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spans="1:24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4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4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4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</row>
    <row r="5" spans="1:24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W5" s="226"/>
      <c r="X5" s="226"/>
    </row>
    <row r="6" spans="1:24" ht="45.65" customHeight="1" x14ac:dyDescent="0.55000000000000004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2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</row>
    <row r="7" spans="1:24" ht="45.65" customHeight="1" x14ac:dyDescent="0.55000000000000004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2" si="1">J7+K7+L7+M7+N7</f>
        <v>150</v>
      </c>
      <c r="P7" s="111">
        <v>0</v>
      </c>
      <c r="Q7" s="111">
        <v>0</v>
      </c>
      <c r="R7" s="111">
        <v>0</v>
      </c>
      <c r="S7" s="111">
        <v>0</v>
      </c>
      <c r="T7" s="112">
        <f>O7-P7-Q7-R7-S7</f>
        <v>150</v>
      </c>
      <c r="U7" s="51"/>
      <c r="W7" s="51"/>
      <c r="X7" s="51"/>
    </row>
    <row r="8" spans="1:24" ht="45.65" customHeight="1" x14ac:dyDescent="0.55000000000000004">
      <c r="A8" s="105">
        <v>3</v>
      </c>
      <c r="B8" s="106">
        <v>2003</v>
      </c>
      <c r="C8" s="122" t="s">
        <v>66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0.87</v>
      </c>
      <c r="R8" s="111">
        <v>0</v>
      </c>
      <c r="S8" s="111">
        <v>0</v>
      </c>
      <c r="T8" s="112">
        <f t="shared" ref="T8:T52" si="2">O8-P8-Q8-R8-S8</f>
        <v>409.13</v>
      </c>
      <c r="U8" s="52"/>
      <c r="W8" s="52"/>
      <c r="X8" s="52"/>
    </row>
    <row r="9" spans="1:24" ht="45.65" customHeight="1" x14ac:dyDescent="0.55000000000000004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W9" s="53"/>
      <c r="X9" s="53"/>
    </row>
    <row r="10" spans="1:24" ht="45.65" customHeight="1" x14ac:dyDescent="0.55000000000000004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W10" s="53"/>
      <c r="X10" s="53"/>
    </row>
    <row r="11" spans="1:24" ht="45.65" customHeight="1" x14ac:dyDescent="0.55000000000000004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189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0.72</v>
      </c>
      <c r="R11" s="111">
        <v>0</v>
      </c>
      <c r="S11" s="111">
        <v>0</v>
      </c>
      <c r="T11" s="112">
        <f t="shared" si="2"/>
        <v>429.28000000000003</v>
      </c>
      <c r="U11" s="53"/>
      <c r="W11" s="53"/>
      <c r="X11" s="53"/>
    </row>
    <row r="12" spans="1:24" ht="45.65" customHeight="1" x14ac:dyDescent="0.55000000000000004">
      <c r="A12" s="105">
        <v>7</v>
      </c>
      <c r="B12" s="106">
        <v>2007</v>
      </c>
      <c r="C12" s="120" t="s">
        <v>102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156"/>
      <c r="W12" s="53"/>
      <c r="X12" s="53"/>
    </row>
    <row r="13" spans="1:24" ht="45.65" customHeight="1" x14ac:dyDescent="0.55000000000000004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  <c r="W13" s="53"/>
      <c r="X13" s="53"/>
    </row>
    <row r="14" spans="1:24" ht="45.65" customHeight="1" x14ac:dyDescent="0.55000000000000004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160</v>
      </c>
      <c r="U14" s="53"/>
      <c r="W14" s="53"/>
      <c r="X14" s="53"/>
    </row>
    <row r="15" spans="1:24" ht="45.65" customHeight="1" x14ac:dyDescent="0.55000000000000004">
      <c r="A15" s="105">
        <v>9</v>
      </c>
      <c r="B15" s="106">
        <v>2009</v>
      </c>
      <c r="C15" s="120" t="s">
        <v>194</v>
      </c>
      <c r="D15" s="121" t="s">
        <v>181</v>
      </c>
      <c r="E15" s="121" t="s">
        <v>185</v>
      </c>
      <c r="F15" s="120" t="s">
        <v>89</v>
      </c>
      <c r="G15" s="106">
        <v>155</v>
      </c>
      <c r="H15" s="110">
        <v>26</v>
      </c>
      <c r="I15" s="110">
        <v>0</v>
      </c>
      <c r="J15" s="111">
        <f t="shared" ref="J15" si="3">G15/26*H15</f>
        <v>155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ref="O15" si="4">J15+K15+L15+M15+N15</f>
        <v>155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ref="T15" si="5">O15-P15-Q15-R15-S15</f>
        <v>155</v>
      </c>
      <c r="U15" s="53"/>
      <c r="W15" s="53"/>
      <c r="X15" s="53"/>
    </row>
    <row r="16" spans="1:24" ht="45.65" customHeight="1" x14ac:dyDescent="0.55000000000000004">
      <c r="A16" s="105">
        <v>10</v>
      </c>
      <c r="B16" s="106">
        <v>2010</v>
      </c>
      <c r="C16" s="120" t="s">
        <v>105</v>
      </c>
      <c r="D16" s="121" t="s">
        <v>177</v>
      </c>
      <c r="E16" s="121" t="s">
        <v>185</v>
      </c>
      <c r="F16" s="120" t="s">
        <v>150</v>
      </c>
      <c r="G16" s="106">
        <v>200</v>
      </c>
      <c r="H16" s="110">
        <v>26</v>
      </c>
      <c r="I16" s="110">
        <v>0</v>
      </c>
      <c r="J16" s="111">
        <f t="shared" si="0"/>
        <v>200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200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200</v>
      </c>
      <c r="U16" s="53"/>
      <c r="W16" s="53"/>
      <c r="X16" s="53"/>
    </row>
    <row r="17" spans="1:24" ht="45.65" customHeight="1" x14ac:dyDescent="0.55000000000000004">
      <c r="A17" s="105">
        <v>11</v>
      </c>
      <c r="B17" s="106">
        <v>2011</v>
      </c>
      <c r="C17" s="120" t="s">
        <v>106</v>
      </c>
      <c r="D17" s="121" t="s">
        <v>177</v>
      </c>
      <c r="E17" s="121" t="s">
        <v>188</v>
      </c>
      <c r="F17" s="120" t="s">
        <v>151</v>
      </c>
      <c r="G17" s="106">
        <v>430</v>
      </c>
      <c r="H17" s="110">
        <v>26</v>
      </c>
      <c r="I17" s="110">
        <v>0</v>
      </c>
      <c r="J17" s="111">
        <f t="shared" si="0"/>
        <v>430.00000000000006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430.00000000000006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430.00000000000006</v>
      </c>
      <c r="U17" s="53"/>
      <c r="W17" s="53"/>
      <c r="X17" s="53"/>
    </row>
    <row r="18" spans="1:24" ht="45.65" customHeight="1" x14ac:dyDescent="0.55000000000000004">
      <c r="A18" s="105">
        <v>12</v>
      </c>
      <c r="B18" s="106">
        <v>2012</v>
      </c>
      <c r="C18" s="120" t="s">
        <v>107</v>
      </c>
      <c r="D18" s="121" t="s">
        <v>177</v>
      </c>
      <c r="E18" s="121" t="s">
        <v>185</v>
      </c>
      <c r="F18" s="120" t="s">
        <v>152</v>
      </c>
      <c r="G18" s="106">
        <v>450</v>
      </c>
      <c r="H18" s="110">
        <v>26</v>
      </c>
      <c r="I18" s="110">
        <v>0</v>
      </c>
      <c r="J18" s="111">
        <f t="shared" si="0"/>
        <v>450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450</v>
      </c>
      <c r="P18" s="111">
        <v>0</v>
      </c>
      <c r="Q18" s="111">
        <v>0.57999999999999996</v>
      </c>
      <c r="R18" s="111">
        <v>0</v>
      </c>
      <c r="S18" s="111">
        <v>0</v>
      </c>
      <c r="T18" s="112">
        <f t="shared" si="2"/>
        <v>449.42</v>
      </c>
      <c r="U18" s="53"/>
      <c r="W18" s="53"/>
      <c r="X18" s="53"/>
    </row>
    <row r="19" spans="1:24" ht="45.65" customHeight="1" x14ac:dyDescent="0.55000000000000004">
      <c r="A19" s="105">
        <v>13</v>
      </c>
      <c r="B19" s="106">
        <v>2013</v>
      </c>
      <c r="C19" s="120" t="s">
        <v>108</v>
      </c>
      <c r="D19" s="121" t="s">
        <v>178</v>
      </c>
      <c r="E19" s="121" t="s">
        <v>185</v>
      </c>
      <c r="F19" s="120" t="s">
        <v>153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26">
        <v>300</v>
      </c>
      <c r="O19" s="111">
        <f t="shared" si="1"/>
        <v>600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600</v>
      </c>
      <c r="U19" s="53"/>
      <c r="W19" s="53"/>
      <c r="X19" s="53"/>
    </row>
    <row r="20" spans="1:24" ht="45.65" customHeight="1" x14ac:dyDescent="0.55000000000000004">
      <c r="A20" s="105">
        <v>14</v>
      </c>
      <c r="B20" s="106">
        <v>2014</v>
      </c>
      <c r="C20" s="120" t="s">
        <v>109</v>
      </c>
      <c r="D20" s="121" t="s">
        <v>181</v>
      </c>
      <c r="E20" s="121" t="s">
        <v>185</v>
      </c>
      <c r="F20" s="120" t="s">
        <v>154</v>
      </c>
      <c r="G20" s="106">
        <v>300</v>
      </c>
      <c r="H20" s="110">
        <v>26</v>
      </c>
      <c r="I20" s="110">
        <v>0</v>
      </c>
      <c r="J20" s="111">
        <f t="shared" si="0"/>
        <v>300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300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2"/>
        <v>300</v>
      </c>
      <c r="U20" s="53"/>
      <c r="W20" s="53"/>
      <c r="X20" s="53"/>
    </row>
    <row r="21" spans="1:24" ht="45.65" customHeight="1" x14ac:dyDescent="0.55000000000000004">
      <c r="A21" s="105">
        <v>14</v>
      </c>
      <c r="B21" s="106">
        <v>2014</v>
      </c>
      <c r="C21" s="120" t="s">
        <v>193</v>
      </c>
      <c r="D21" s="121" t="s">
        <v>177</v>
      </c>
      <c r="E21" s="121" t="s">
        <v>185</v>
      </c>
      <c r="F21" s="120"/>
      <c r="G21" s="106">
        <v>200</v>
      </c>
      <c r="H21" s="110">
        <v>26</v>
      </c>
      <c r="I21" s="110">
        <v>0</v>
      </c>
      <c r="J21" s="111">
        <f t="shared" ref="J21" si="6">G21/26*H21</f>
        <v>200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ref="O21" si="7">J21+K21+L21+M21+N21</f>
        <v>200</v>
      </c>
      <c r="P21" s="111">
        <v>0</v>
      </c>
      <c r="Q21" s="111">
        <v>51.2</v>
      </c>
      <c r="R21" s="111">
        <v>0</v>
      </c>
      <c r="S21" s="111">
        <v>0</v>
      </c>
      <c r="T21" s="112">
        <f t="shared" ref="T21" si="8">O21-P21-Q21-R21-S21</f>
        <v>148.80000000000001</v>
      </c>
      <c r="U21" s="53"/>
      <c r="W21" s="53"/>
      <c r="X21" s="53"/>
    </row>
    <row r="22" spans="1:24" ht="45.65" customHeight="1" x14ac:dyDescent="0.55000000000000004">
      <c r="A22" s="105">
        <v>15</v>
      </c>
      <c r="B22" s="106">
        <v>2015</v>
      </c>
      <c r="C22" s="120" t="s">
        <v>110</v>
      </c>
      <c r="D22" s="121" t="s">
        <v>181</v>
      </c>
      <c r="E22" s="121" t="s">
        <v>189</v>
      </c>
      <c r="F22" s="120"/>
      <c r="G22" s="106">
        <v>250</v>
      </c>
      <c r="H22" s="110">
        <v>26</v>
      </c>
      <c r="I22" s="110">
        <v>0</v>
      </c>
      <c r="J22" s="111">
        <f t="shared" si="0"/>
        <v>250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250</v>
      </c>
      <c r="P22" s="111">
        <v>0</v>
      </c>
      <c r="Q22" s="111">
        <v>0</v>
      </c>
      <c r="R22" s="111">
        <v>0</v>
      </c>
      <c r="S22" s="111">
        <v>0</v>
      </c>
      <c r="T22" s="112">
        <f t="shared" si="2"/>
        <v>250</v>
      </c>
      <c r="U22" s="53"/>
      <c r="W22" s="119"/>
      <c r="X22" s="118"/>
    </row>
    <row r="23" spans="1:24" ht="45.65" customHeight="1" x14ac:dyDescent="0.55000000000000004">
      <c r="A23" s="105">
        <v>16</v>
      </c>
      <c r="B23" s="106">
        <v>2016</v>
      </c>
      <c r="C23" s="120" t="s">
        <v>111</v>
      </c>
      <c r="D23" s="121" t="s">
        <v>182</v>
      </c>
      <c r="E23" s="121" t="s">
        <v>185</v>
      </c>
      <c r="F23" s="120"/>
      <c r="G23" s="106">
        <v>100</v>
      </c>
      <c r="H23" s="110">
        <v>26</v>
      </c>
      <c r="I23" s="110">
        <v>0</v>
      </c>
      <c r="J23" s="111">
        <f t="shared" si="0"/>
        <v>100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2"/>
        <v>100</v>
      </c>
      <c r="U23" s="53"/>
      <c r="W23" s="53"/>
      <c r="X23" s="53"/>
    </row>
    <row r="24" spans="1:24" ht="45.65" customHeight="1" x14ac:dyDescent="0.55000000000000004">
      <c r="A24" s="105">
        <v>17</v>
      </c>
      <c r="B24" s="106">
        <v>2017</v>
      </c>
      <c r="C24" s="120" t="s">
        <v>112</v>
      </c>
      <c r="D24" s="121" t="s">
        <v>177</v>
      </c>
      <c r="E24" s="121" t="s">
        <v>189</v>
      </c>
      <c r="F24" s="120" t="s">
        <v>155</v>
      </c>
      <c r="G24" s="106">
        <v>450</v>
      </c>
      <c r="H24" s="110">
        <v>26</v>
      </c>
      <c r="I24" s="110">
        <v>0</v>
      </c>
      <c r="J24" s="111">
        <f t="shared" si="0"/>
        <v>450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450</v>
      </c>
      <c r="P24" s="111">
        <v>0</v>
      </c>
      <c r="Q24" s="111">
        <v>0</v>
      </c>
      <c r="R24" s="111">
        <v>50</v>
      </c>
      <c r="S24" s="111">
        <v>0</v>
      </c>
      <c r="T24" s="112">
        <f t="shared" si="2"/>
        <v>400</v>
      </c>
      <c r="U24" s="53"/>
      <c r="W24" s="53"/>
      <c r="X24" s="53"/>
    </row>
    <row r="25" spans="1:24" ht="45.65" customHeight="1" x14ac:dyDescent="0.55000000000000004">
      <c r="A25" s="105">
        <v>18</v>
      </c>
      <c r="B25" s="106">
        <v>2018</v>
      </c>
      <c r="C25" s="120" t="s">
        <v>113</v>
      </c>
      <c r="D25" s="121" t="s">
        <v>177</v>
      </c>
      <c r="E25" s="121" t="s">
        <v>185</v>
      </c>
      <c r="F25" s="120" t="s">
        <v>156</v>
      </c>
      <c r="G25" s="106">
        <v>300</v>
      </c>
      <c r="H25" s="110">
        <v>26</v>
      </c>
      <c r="I25" s="110">
        <v>0</v>
      </c>
      <c r="J25" s="111">
        <f t="shared" si="0"/>
        <v>300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300</v>
      </c>
      <c r="P25" s="111">
        <v>0</v>
      </c>
      <c r="Q25" s="111">
        <v>1.39</v>
      </c>
      <c r="R25" s="111">
        <v>0</v>
      </c>
      <c r="S25" s="111">
        <v>0</v>
      </c>
      <c r="T25" s="112">
        <f t="shared" si="2"/>
        <v>298.61</v>
      </c>
      <c r="U25" s="53"/>
      <c r="W25" s="53"/>
      <c r="X25" s="53"/>
    </row>
    <row r="26" spans="1:24" ht="45.65" customHeight="1" x14ac:dyDescent="0.55000000000000004">
      <c r="A26" s="105">
        <v>19</v>
      </c>
      <c r="B26" s="106">
        <v>2019</v>
      </c>
      <c r="C26" s="120" t="s">
        <v>114</v>
      </c>
      <c r="D26" s="121" t="s">
        <v>180</v>
      </c>
      <c r="E26" s="121" t="s">
        <v>185</v>
      </c>
      <c r="F26" s="120" t="s">
        <v>157</v>
      </c>
      <c r="G26" s="106">
        <v>50</v>
      </c>
      <c r="H26" s="110">
        <v>26</v>
      </c>
      <c r="I26" s="110">
        <v>0</v>
      </c>
      <c r="J26" s="111">
        <f t="shared" si="0"/>
        <v>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50</v>
      </c>
      <c r="U26" s="53"/>
      <c r="W26" s="53"/>
      <c r="X26" s="53"/>
    </row>
    <row r="27" spans="1:24" ht="45.65" customHeight="1" x14ac:dyDescent="0.55000000000000004">
      <c r="A27" s="105">
        <v>20</v>
      </c>
      <c r="B27" s="106">
        <v>2020</v>
      </c>
      <c r="C27" s="120" t="s">
        <v>115</v>
      </c>
      <c r="D27" s="121" t="s">
        <v>180</v>
      </c>
      <c r="E27" s="121" t="s">
        <v>185</v>
      </c>
      <c r="F27" s="120" t="s">
        <v>158</v>
      </c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11.54</v>
      </c>
      <c r="R27" s="111">
        <v>0</v>
      </c>
      <c r="S27" s="111">
        <v>0</v>
      </c>
      <c r="T27" s="112">
        <f t="shared" si="2"/>
        <v>138.46</v>
      </c>
      <c r="U27" s="53"/>
      <c r="W27" s="53"/>
      <c r="X27" s="53"/>
    </row>
    <row r="28" spans="1:24" ht="45.65" customHeight="1" x14ac:dyDescent="0.55000000000000004">
      <c r="A28" s="105">
        <v>21</v>
      </c>
      <c r="B28" s="106">
        <v>2021</v>
      </c>
      <c r="C28" s="120" t="s">
        <v>116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  <c r="W28" s="53"/>
      <c r="X28" s="53"/>
    </row>
    <row r="29" spans="1:24" ht="45.65" customHeight="1" x14ac:dyDescent="0.55000000000000004">
      <c r="A29" s="105">
        <v>22</v>
      </c>
      <c r="B29" s="106">
        <v>2022</v>
      </c>
      <c r="C29" s="120" t="s">
        <v>117</v>
      </c>
      <c r="D29" s="121" t="s">
        <v>183</v>
      </c>
      <c r="E29" s="121" t="s">
        <v>185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150</v>
      </c>
      <c r="U29" s="53"/>
      <c r="W29" s="53"/>
      <c r="X29" s="53"/>
    </row>
    <row r="30" spans="1:24" ht="45.65" customHeight="1" x14ac:dyDescent="0.55000000000000004">
      <c r="A30" s="105">
        <v>23</v>
      </c>
      <c r="B30" s="106">
        <v>2023</v>
      </c>
      <c r="C30" s="120" t="s">
        <v>118</v>
      </c>
      <c r="D30" s="121" t="s">
        <v>181</v>
      </c>
      <c r="E30" s="121" t="s">
        <v>185</v>
      </c>
      <c r="F30" s="120"/>
      <c r="G30" s="106">
        <v>100</v>
      </c>
      <c r="H30" s="110">
        <v>26</v>
      </c>
      <c r="I30" s="110">
        <v>0</v>
      </c>
      <c r="J30" s="111">
        <f t="shared" si="0"/>
        <v>100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100</v>
      </c>
      <c r="U30" s="53"/>
      <c r="W30" s="53"/>
      <c r="X30" s="53"/>
    </row>
    <row r="31" spans="1:24" ht="45.65" customHeight="1" x14ac:dyDescent="0.55000000000000004">
      <c r="A31" s="105">
        <v>24</v>
      </c>
      <c r="B31" s="106">
        <v>2024</v>
      </c>
      <c r="C31" s="120" t="s">
        <v>119</v>
      </c>
      <c r="D31" s="121" t="s">
        <v>183</v>
      </c>
      <c r="E31" s="121" t="s">
        <v>185</v>
      </c>
      <c r="F31" s="120" t="s">
        <v>93</v>
      </c>
      <c r="G31" s="106">
        <v>80</v>
      </c>
      <c r="H31" s="110">
        <v>26</v>
      </c>
      <c r="I31" s="110">
        <v>0</v>
      </c>
      <c r="J31" s="111">
        <f t="shared" si="0"/>
        <v>80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80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80</v>
      </c>
      <c r="U31" s="53"/>
      <c r="W31" s="53"/>
      <c r="X31" s="53"/>
    </row>
    <row r="32" spans="1:24" ht="45.65" customHeight="1" x14ac:dyDescent="0.55000000000000004">
      <c r="A32" s="105">
        <v>25</v>
      </c>
      <c r="B32" s="106">
        <v>2025</v>
      </c>
      <c r="C32" s="120" t="s">
        <v>120</v>
      </c>
      <c r="D32" s="121" t="s">
        <v>177</v>
      </c>
      <c r="E32" s="121" t="s">
        <v>190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150</v>
      </c>
      <c r="U32" s="53"/>
      <c r="W32" s="53"/>
      <c r="X32" s="53"/>
    </row>
    <row r="33" spans="1:24" ht="45.65" customHeight="1" x14ac:dyDescent="0.55000000000000004">
      <c r="A33" s="105">
        <v>26</v>
      </c>
      <c r="B33" s="106">
        <v>2026</v>
      </c>
      <c r="C33" s="120" t="s">
        <v>121</v>
      </c>
      <c r="D33" s="121" t="s">
        <v>183</v>
      </c>
      <c r="E33" s="121" t="s">
        <v>189</v>
      </c>
      <c r="F33" s="120"/>
      <c r="G33" s="106">
        <v>150</v>
      </c>
      <c r="H33" s="110">
        <v>26</v>
      </c>
      <c r="I33" s="110">
        <v>0</v>
      </c>
      <c r="J33" s="111">
        <f t="shared" si="0"/>
        <v>150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150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150</v>
      </c>
      <c r="U33" s="53"/>
      <c r="W33" s="53"/>
      <c r="X33" s="53"/>
    </row>
    <row r="34" spans="1:24" ht="45.65" customHeight="1" x14ac:dyDescent="0.55000000000000004">
      <c r="A34" s="105">
        <v>27</v>
      </c>
      <c r="B34" s="106">
        <v>2027</v>
      </c>
      <c r="C34" s="120" t="s">
        <v>122</v>
      </c>
      <c r="D34" s="121" t="s">
        <v>181</v>
      </c>
      <c r="E34" s="121" t="s">
        <v>189</v>
      </c>
      <c r="F34" s="120"/>
      <c r="G34" s="106">
        <v>200</v>
      </c>
      <c r="H34" s="110">
        <v>26</v>
      </c>
      <c r="I34" s="110">
        <v>0</v>
      </c>
      <c r="J34" s="111">
        <f t="shared" si="0"/>
        <v>200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200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200</v>
      </c>
      <c r="U34" s="53"/>
      <c r="W34" s="53"/>
      <c r="X34" s="53"/>
    </row>
    <row r="35" spans="1:24" ht="45.65" customHeight="1" x14ac:dyDescent="0.55000000000000004">
      <c r="A35" s="105">
        <v>28</v>
      </c>
      <c r="B35" s="106">
        <v>2028</v>
      </c>
      <c r="C35" s="120" t="s">
        <v>123</v>
      </c>
      <c r="D35" s="121" t="s">
        <v>181</v>
      </c>
      <c r="E35" s="121" t="s">
        <v>185</v>
      </c>
      <c r="F35" s="120"/>
      <c r="G35" s="106">
        <v>250</v>
      </c>
      <c r="H35" s="110">
        <v>26</v>
      </c>
      <c r="I35" s="110">
        <v>0</v>
      </c>
      <c r="J35" s="111">
        <f t="shared" si="0"/>
        <v>250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250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250</v>
      </c>
      <c r="U35" s="53"/>
      <c r="W35" s="53"/>
      <c r="X35" s="118"/>
    </row>
    <row r="36" spans="1:24" ht="45.65" customHeight="1" x14ac:dyDescent="0.55000000000000004">
      <c r="A36" s="105">
        <v>29</v>
      </c>
      <c r="B36" s="106">
        <v>2029</v>
      </c>
      <c r="C36" s="120" t="s">
        <v>124</v>
      </c>
      <c r="D36" s="121" t="s">
        <v>177</v>
      </c>
      <c r="E36" s="121" t="s">
        <v>185</v>
      </c>
      <c r="F36" s="120" t="s">
        <v>159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270</v>
      </c>
      <c r="U36" s="53"/>
      <c r="W36" s="53"/>
      <c r="X36" s="53"/>
    </row>
    <row r="37" spans="1:24" ht="45.65" customHeight="1" x14ac:dyDescent="0.55000000000000004">
      <c r="A37" s="105">
        <v>30</v>
      </c>
      <c r="B37" s="106">
        <v>2030</v>
      </c>
      <c r="C37" s="120" t="s">
        <v>125</v>
      </c>
      <c r="D37" s="121" t="s">
        <v>177</v>
      </c>
      <c r="E37" s="121" t="s">
        <v>185</v>
      </c>
      <c r="F37" s="120" t="s">
        <v>160</v>
      </c>
      <c r="G37" s="106">
        <v>270</v>
      </c>
      <c r="H37" s="110">
        <v>26</v>
      </c>
      <c r="I37" s="110">
        <v>0</v>
      </c>
      <c r="J37" s="111">
        <f t="shared" si="0"/>
        <v>270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270</v>
      </c>
      <c r="P37" s="111">
        <v>0</v>
      </c>
      <c r="Q37" s="111">
        <v>0</v>
      </c>
      <c r="R37" s="111">
        <v>50</v>
      </c>
      <c r="S37" s="111">
        <v>0</v>
      </c>
      <c r="T37" s="112">
        <f t="shared" si="2"/>
        <v>220</v>
      </c>
      <c r="U37" s="53"/>
      <c r="W37" s="53"/>
      <c r="X37" s="53"/>
    </row>
    <row r="38" spans="1:24" ht="45.65" customHeight="1" x14ac:dyDescent="0.55000000000000004">
      <c r="A38" s="105">
        <v>31</v>
      </c>
      <c r="B38" s="106">
        <v>2031</v>
      </c>
      <c r="C38" s="120" t="s">
        <v>126</v>
      </c>
      <c r="D38" s="121" t="s">
        <v>178</v>
      </c>
      <c r="E38" s="121" t="s">
        <v>185</v>
      </c>
      <c r="F38" s="120"/>
      <c r="G38" s="106">
        <v>280</v>
      </c>
      <c r="H38" s="110">
        <v>26</v>
      </c>
      <c r="I38" s="110">
        <v>0</v>
      </c>
      <c r="J38" s="111">
        <f t="shared" si="0"/>
        <v>280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280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280</v>
      </c>
      <c r="U38" s="53"/>
      <c r="W38" s="53"/>
      <c r="X38" s="53"/>
    </row>
    <row r="39" spans="1:24" ht="45.65" customHeight="1" x14ac:dyDescent="0.55000000000000004">
      <c r="A39" s="105">
        <v>32</v>
      </c>
      <c r="B39" s="106">
        <v>2032</v>
      </c>
      <c r="C39" s="120" t="s">
        <v>127</v>
      </c>
      <c r="D39" s="121" t="s">
        <v>177</v>
      </c>
      <c r="E39" s="121" t="s">
        <v>191</v>
      </c>
      <c r="F39" s="120" t="s">
        <v>161</v>
      </c>
      <c r="G39" s="106">
        <v>200</v>
      </c>
      <c r="H39" s="110">
        <v>26</v>
      </c>
      <c r="I39" s="110">
        <v>0</v>
      </c>
      <c r="J39" s="111">
        <f t="shared" si="0"/>
        <v>200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200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200</v>
      </c>
      <c r="U39" s="53"/>
      <c r="W39" s="53"/>
      <c r="X39" s="53"/>
    </row>
    <row r="40" spans="1:24" ht="45.65" customHeight="1" x14ac:dyDescent="0.55000000000000004">
      <c r="A40" s="105">
        <v>33</v>
      </c>
      <c r="B40" s="106">
        <v>2033</v>
      </c>
      <c r="C40" s="120" t="s">
        <v>128</v>
      </c>
      <c r="D40" s="121" t="s">
        <v>177</v>
      </c>
      <c r="E40" s="121" t="s">
        <v>185</v>
      </c>
      <c r="F40" s="120"/>
      <c r="G40" s="106">
        <v>600</v>
      </c>
      <c r="H40" s="110">
        <v>26</v>
      </c>
      <c r="I40" s="110">
        <v>0</v>
      </c>
      <c r="J40" s="111">
        <f t="shared" si="0"/>
        <v>600</v>
      </c>
      <c r="K40" s="111">
        <v>0</v>
      </c>
      <c r="L40" s="111">
        <v>0</v>
      </c>
      <c r="M40" s="111">
        <v>0</v>
      </c>
      <c r="N40" s="111">
        <v>-200</v>
      </c>
      <c r="O40" s="111">
        <f t="shared" si="1"/>
        <v>400</v>
      </c>
      <c r="P40" s="111">
        <v>0</v>
      </c>
      <c r="Q40" s="153">
        <v>0</v>
      </c>
      <c r="R40" s="111">
        <v>0</v>
      </c>
      <c r="S40" s="151">
        <v>0</v>
      </c>
      <c r="T40" s="112">
        <f t="shared" si="2"/>
        <v>400</v>
      </c>
      <c r="U40" s="53" t="s">
        <v>176</v>
      </c>
      <c r="W40" s="53">
        <v>600</v>
      </c>
      <c r="X40" s="118">
        <v>-200</v>
      </c>
    </row>
    <row r="41" spans="1:24" ht="45.65" customHeight="1" x14ac:dyDescent="0.55000000000000004">
      <c r="A41" s="105">
        <v>34</v>
      </c>
      <c r="B41" s="106">
        <v>2034</v>
      </c>
      <c r="C41" s="120" t="s">
        <v>129</v>
      </c>
      <c r="D41" s="121" t="s">
        <v>177</v>
      </c>
      <c r="E41" s="121" t="s">
        <v>191</v>
      </c>
      <c r="F41" s="120" t="s">
        <v>162</v>
      </c>
      <c r="G41" s="106">
        <v>200</v>
      </c>
      <c r="H41" s="110">
        <v>26</v>
      </c>
      <c r="I41" s="110">
        <v>0</v>
      </c>
      <c r="J41" s="111">
        <f t="shared" si="0"/>
        <v>200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200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200</v>
      </c>
      <c r="U41" s="53"/>
      <c r="W41" s="53"/>
      <c r="X41" s="53"/>
    </row>
    <row r="42" spans="1:24" ht="45.65" customHeight="1" x14ac:dyDescent="0.55000000000000004">
      <c r="A42" s="105">
        <v>35</v>
      </c>
      <c r="B42" s="106">
        <v>2035</v>
      </c>
      <c r="C42" s="120" t="s">
        <v>130</v>
      </c>
      <c r="D42" s="121" t="s">
        <v>177</v>
      </c>
      <c r="E42" s="121" t="s">
        <v>191</v>
      </c>
      <c r="F42" s="120" t="s">
        <v>172</v>
      </c>
      <c r="G42" s="106">
        <v>500</v>
      </c>
      <c r="H42" s="110">
        <v>26</v>
      </c>
      <c r="I42" s="110">
        <v>0</v>
      </c>
      <c r="J42" s="111">
        <f t="shared" si="0"/>
        <v>500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500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2"/>
        <v>500</v>
      </c>
      <c r="U42" s="53"/>
      <c r="W42" s="53"/>
      <c r="X42" s="53"/>
    </row>
    <row r="43" spans="1:24" ht="45.65" customHeight="1" x14ac:dyDescent="0.55000000000000004">
      <c r="A43" s="105">
        <v>36</v>
      </c>
      <c r="B43" s="106">
        <v>2036</v>
      </c>
      <c r="C43" s="120" t="s">
        <v>131</v>
      </c>
      <c r="D43" s="121" t="s">
        <v>177</v>
      </c>
      <c r="E43" s="121" t="s">
        <v>191</v>
      </c>
      <c r="F43" s="120" t="s">
        <v>163</v>
      </c>
      <c r="G43" s="106">
        <v>400</v>
      </c>
      <c r="H43" s="110">
        <v>26</v>
      </c>
      <c r="I43" s="110">
        <v>0</v>
      </c>
      <c r="J43" s="111">
        <f t="shared" si="0"/>
        <v>400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400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400</v>
      </c>
      <c r="U43" s="53"/>
      <c r="W43" s="53"/>
      <c r="X43" s="53"/>
    </row>
    <row r="44" spans="1:24" ht="45.65" customHeight="1" x14ac:dyDescent="0.55000000000000004">
      <c r="A44" s="105">
        <v>37</v>
      </c>
      <c r="B44" s="106">
        <v>2037</v>
      </c>
      <c r="C44" s="120" t="s">
        <v>132</v>
      </c>
      <c r="D44" s="121" t="s">
        <v>177</v>
      </c>
      <c r="E44" s="121" t="s">
        <v>191</v>
      </c>
      <c r="F44" s="120" t="s">
        <v>163</v>
      </c>
      <c r="G44" s="106">
        <v>400</v>
      </c>
      <c r="H44" s="110">
        <v>26</v>
      </c>
      <c r="I44" s="110">
        <v>0</v>
      </c>
      <c r="J44" s="111">
        <f t="shared" si="0"/>
        <v>400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400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400</v>
      </c>
      <c r="U44" s="53"/>
      <c r="W44" s="53"/>
      <c r="X44" s="53"/>
    </row>
    <row r="45" spans="1:24" ht="45.65" customHeight="1" x14ac:dyDescent="0.55000000000000004">
      <c r="A45" s="105">
        <v>38</v>
      </c>
      <c r="B45" s="106">
        <v>2038</v>
      </c>
      <c r="C45" s="120" t="s">
        <v>133</v>
      </c>
      <c r="D45" s="121" t="s">
        <v>178</v>
      </c>
      <c r="E45" s="121" t="s">
        <v>185</v>
      </c>
      <c r="F45" s="120" t="s">
        <v>164</v>
      </c>
      <c r="G45" s="106">
        <v>260</v>
      </c>
      <c r="H45" s="110">
        <v>26</v>
      </c>
      <c r="I45" s="110">
        <v>0</v>
      </c>
      <c r="J45" s="111">
        <f t="shared" si="0"/>
        <v>260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260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260</v>
      </c>
      <c r="U45" s="53"/>
      <c r="W45" s="53"/>
      <c r="X45" s="53"/>
    </row>
    <row r="46" spans="1:24" ht="45.65" customHeight="1" x14ac:dyDescent="0.55000000000000004">
      <c r="A46" s="105">
        <v>50</v>
      </c>
      <c r="B46" s="106">
        <v>2050</v>
      </c>
      <c r="C46" s="154" t="s">
        <v>173</v>
      </c>
      <c r="D46" s="108" t="s">
        <v>177</v>
      </c>
      <c r="E46" s="108" t="s">
        <v>185</v>
      </c>
      <c r="F46" s="107"/>
      <c r="G46" s="141">
        <v>600</v>
      </c>
      <c r="H46" s="110">
        <v>26</v>
      </c>
      <c r="I46" s="110">
        <v>0</v>
      </c>
      <c r="J46" s="111">
        <f t="shared" si="0"/>
        <v>600</v>
      </c>
      <c r="K46" s="111">
        <v>0</v>
      </c>
      <c r="L46" s="111">
        <v>0</v>
      </c>
      <c r="M46" s="111">
        <v>0</v>
      </c>
      <c r="N46" s="111">
        <v>-176.3</v>
      </c>
      <c r="O46" s="111">
        <f t="shared" si="1"/>
        <v>423.7</v>
      </c>
      <c r="P46" s="111">
        <v>0</v>
      </c>
      <c r="Q46" s="153">
        <v>0</v>
      </c>
      <c r="R46" s="111">
        <v>0</v>
      </c>
      <c r="S46" s="151">
        <v>0</v>
      </c>
      <c r="T46" s="112">
        <f t="shared" si="2"/>
        <v>423.7</v>
      </c>
      <c r="U46" s="53" t="s">
        <v>176</v>
      </c>
      <c r="W46" s="53">
        <v>600</v>
      </c>
      <c r="X46" s="118">
        <v>-176.3</v>
      </c>
    </row>
    <row r="47" spans="1:24" ht="45.65" customHeight="1" x14ac:dyDescent="0.55000000000000004">
      <c r="A47" s="105">
        <v>51</v>
      </c>
      <c r="B47" s="106">
        <v>2051</v>
      </c>
      <c r="C47" s="154" t="s">
        <v>174</v>
      </c>
      <c r="D47" s="108" t="s">
        <v>177</v>
      </c>
      <c r="E47" s="108" t="s">
        <v>185</v>
      </c>
      <c r="F47" s="107"/>
      <c r="G47" s="141">
        <v>413.2</v>
      </c>
      <c r="H47" s="110">
        <v>26</v>
      </c>
      <c r="I47" s="110">
        <v>0</v>
      </c>
      <c r="J47" s="111">
        <f t="shared" si="0"/>
        <v>413.2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413.2</v>
      </c>
      <c r="P47" s="111">
        <v>0</v>
      </c>
      <c r="Q47" s="111">
        <v>47.68</v>
      </c>
      <c r="R47" s="111">
        <v>0</v>
      </c>
      <c r="S47" s="111">
        <v>0</v>
      </c>
      <c r="T47" s="112">
        <f t="shared" si="2"/>
        <v>365.52</v>
      </c>
      <c r="U47" s="53"/>
      <c r="W47" s="53"/>
      <c r="X47" s="118"/>
    </row>
    <row r="48" spans="1:24" ht="45.65" customHeight="1" x14ac:dyDescent="0.55000000000000004">
      <c r="A48" s="105">
        <v>52</v>
      </c>
      <c r="B48" s="106">
        <v>2052</v>
      </c>
      <c r="C48" s="154" t="s">
        <v>175</v>
      </c>
      <c r="D48" s="108"/>
      <c r="E48" s="108" t="s">
        <v>192</v>
      </c>
      <c r="F48" s="107"/>
      <c r="G48" s="109">
        <v>300</v>
      </c>
      <c r="H48" s="110">
        <v>26</v>
      </c>
      <c r="I48" s="110">
        <v>0</v>
      </c>
      <c r="J48" s="111">
        <f t="shared" si="0"/>
        <v>300</v>
      </c>
      <c r="K48" s="111">
        <v>0</v>
      </c>
      <c r="L48" s="111">
        <v>0</v>
      </c>
      <c r="M48" s="111">
        <v>0</v>
      </c>
      <c r="N48" s="111">
        <v>-300</v>
      </c>
      <c r="O48" s="111">
        <f t="shared" si="1"/>
        <v>0</v>
      </c>
      <c r="P48" s="111">
        <v>0</v>
      </c>
      <c r="Q48" s="153">
        <v>0</v>
      </c>
      <c r="R48" s="111">
        <v>0</v>
      </c>
      <c r="S48" s="151">
        <v>0</v>
      </c>
      <c r="T48" s="112">
        <f t="shared" si="2"/>
        <v>0</v>
      </c>
      <c r="U48" s="53" t="s">
        <v>176</v>
      </c>
      <c r="W48" s="53">
        <v>300</v>
      </c>
      <c r="X48" s="118">
        <v>-300</v>
      </c>
    </row>
    <row r="49" spans="1:24" ht="45.65" customHeight="1" x14ac:dyDescent="0.55000000000000004">
      <c r="A49" s="105">
        <v>53</v>
      </c>
      <c r="B49" s="106">
        <v>2053</v>
      </c>
      <c r="C49" s="154" t="s">
        <v>145</v>
      </c>
      <c r="D49" s="108"/>
      <c r="E49" s="108" t="s">
        <v>192</v>
      </c>
      <c r="F49" s="107"/>
      <c r="G49" s="109">
        <v>600</v>
      </c>
      <c r="H49" s="110">
        <v>26</v>
      </c>
      <c r="I49" s="110">
        <v>0</v>
      </c>
      <c r="J49" s="111">
        <f t="shared" si="0"/>
        <v>600</v>
      </c>
      <c r="K49" s="111">
        <v>0</v>
      </c>
      <c r="L49" s="111">
        <v>0</v>
      </c>
      <c r="M49" s="111">
        <v>0</v>
      </c>
      <c r="N49" s="111">
        <v>-600</v>
      </c>
      <c r="O49" s="111">
        <f t="shared" si="1"/>
        <v>0</v>
      </c>
      <c r="P49" s="111">
        <v>0</v>
      </c>
      <c r="Q49" s="153">
        <v>0</v>
      </c>
      <c r="R49" s="111">
        <v>0</v>
      </c>
      <c r="S49" s="151">
        <v>0</v>
      </c>
      <c r="T49" s="112">
        <f t="shared" si="2"/>
        <v>0</v>
      </c>
      <c r="U49" s="52" t="s">
        <v>176</v>
      </c>
      <c r="W49" s="53">
        <v>600</v>
      </c>
      <c r="X49" s="118">
        <v>-600</v>
      </c>
    </row>
    <row r="50" spans="1:24" ht="45.65" customHeight="1" x14ac:dyDescent="0.55000000000000004">
      <c r="A50" s="105">
        <v>54</v>
      </c>
      <c r="B50" s="106">
        <v>2054</v>
      </c>
      <c r="C50" s="107"/>
      <c r="D50" s="108"/>
      <c r="E50" s="108"/>
      <c r="F50" s="107"/>
      <c r="G50" s="109"/>
      <c r="H50" s="110">
        <v>26</v>
      </c>
      <c r="I50" s="110">
        <v>0</v>
      </c>
      <c r="J50" s="111">
        <f t="shared" si="0"/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0</v>
      </c>
      <c r="U50" s="51"/>
      <c r="W50" s="53"/>
      <c r="X50" s="118"/>
    </row>
    <row r="51" spans="1:24" ht="45.65" customHeight="1" x14ac:dyDescent="0.55000000000000004">
      <c r="A51" s="105">
        <v>55</v>
      </c>
      <c r="B51" s="106">
        <v>2055</v>
      </c>
      <c r="C51" s="107"/>
      <c r="D51" s="108"/>
      <c r="E51" s="108"/>
      <c r="F51" s="107"/>
      <c r="G51" s="109"/>
      <c r="H51" s="110">
        <v>26</v>
      </c>
      <c r="I51" s="110">
        <v>0</v>
      </c>
      <c r="J51" s="111">
        <f t="shared" si="0"/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0</v>
      </c>
      <c r="U51" s="51"/>
      <c r="W51" s="53"/>
      <c r="X51" s="118"/>
    </row>
    <row r="52" spans="1:24" ht="45.65" customHeight="1" thickBot="1" x14ac:dyDescent="0.6">
      <c r="A52" s="142">
        <v>56</v>
      </c>
      <c r="B52" s="143">
        <v>2056</v>
      </c>
      <c r="C52" s="144"/>
      <c r="D52" s="145"/>
      <c r="E52" s="145"/>
      <c r="F52" s="144"/>
      <c r="G52" s="146"/>
      <c r="H52" s="147">
        <v>26</v>
      </c>
      <c r="I52" s="147">
        <v>0</v>
      </c>
      <c r="J52" s="148">
        <f t="shared" si="0"/>
        <v>0</v>
      </c>
      <c r="K52" s="148">
        <v>0</v>
      </c>
      <c r="L52" s="148">
        <v>0</v>
      </c>
      <c r="M52" s="148">
        <v>0</v>
      </c>
      <c r="N52" s="148">
        <v>0</v>
      </c>
      <c r="O52" s="148">
        <f t="shared" si="1"/>
        <v>0</v>
      </c>
      <c r="P52" s="148">
        <v>0</v>
      </c>
      <c r="Q52" s="148">
        <v>0</v>
      </c>
      <c r="R52" s="148">
        <v>0</v>
      </c>
      <c r="S52" s="148">
        <v>0</v>
      </c>
      <c r="T52" s="149">
        <f t="shared" si="2"/>
        <v>0</v>
      </c>
      <c r="U52" s="54"/>
      <c r="W52" s="53"/>
      <c r="X52" s="118"/>
    </row>
    <row r="53" spans="1:24" ht="50.15" customHeight="1" thickBot="1" x14ac:dyDescent="0.45">
      <c r="A53" s="256" t="s">
        <v>0</v>
      </c>
      <c r="B53" s="257"/>
      <c r="C53" s="257"/>
      <c r="D53" s="257"/>
      <c r="E53" s="257"/>
      <c r="F53" s="257"/>
      <c r="G53" s="257"/>
      <c r="H53" s="257"/>
      <c r="I53" s="258"/>
      <c r="J53" s="116">
        <f t="shared" ref="J53:T53" si="9">SUBTOTAL(9,J6:J52)</f>
        <v>12983.2</v>
      </c>
      <c r="K53" s="116">
        <f t="shared" si="9"/>
        <v>0</v>
      </c>
      <c r="L53" s="116">
        <f t="shared" si="9"/>
        <v>0</v>
      </c>
      <c r="M53" s="116">
        <f t="shared" si="9"/>
        <v>0</v>
      </c>
      <c r="N53" s="116">
        <f t="shared" si="9"/>
        <v>-976.3</v>
      </c>
      <c r="O53" s="116">
        <f t="shared" si="9"/>
        <v>12006.900000000001</v>
      </c>
      <c r="P53" s="116">
        <f t="shared" si="9"/>
        <v>0</v>
      </c>
      <c r="Q53" s="116">
        <f t="shared" si="9"/>
        <v>113.98000000000002</v>
      </c>
      <c r="R53" s="116">
        <f t="shared" si="9"/>
        <v>150</v>
      </c>
      <c r="S53" s="152">
        <f t="shared" si="9"/>
        <v>0</v>
      </c>
      <c r="T53" s="124">
        <f t="shared" si="9"/>
        <v>11742.920000000002</v>
      </c>
      <c r="U53" s="116"/>
      <c r="W53" s="116">
        <f t="shared" ref="W53:X53" si="10">SUBTOTAL(9,W6:W52)</f>
        <v>2100</v>
      </c>
      <c r="X53" s="116">
        <f t="shared" si="10"/>
        <v>-1276.3</v>
      </c>
    </row>
    <row r="56" spans="1:24" x14ac:dyDescent="0.4">
      <c r="O56" s="123"/>
    </row>
    <row r="57" spans="1:24" x14ac:dyDescent="0.4">
      <c r="O57" s="123">
        <f>O53-Q53</f>
        <v>11892.920000000002</v>
      </c>
    </row>
    <row r="58" spans="1:24" x14ac:dyDescent="0.4">
      <c r="O58" s="123"/>
    </row>
    <row r="59" spans="1:24" x14ac:dyDescent="0.4">
      <c r="O59" s="123"/>
    </row>
    <row r="60" spans="1:24" x14ac:dyDescent="0.4">
      <c r="T60" t="s">
        <v>195</v>
      </c>
    </row>
  </sheetData>
  <autoFilter ref="A5:X52" xr:uid="{00000000-0001-0000-0300-000000000000}"/>
  <mergeCells count="18"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  <mergeCell ref="A53:I53"/>
    <mergeCell ref="I4:I5"/>
    <mergeCell ref="J4:O4"/>
    <mergeCell ref="P4:S4"/>
    <mergeCell ref="T4:T5"/>
  </mergeCells>
  <conditionalFormatting sqref="C6:C52">
    <cfRule type="duplicateValues" dxfId="21" priority="82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36D2-E467-4276-88B0-5F9272C5740D}">
  <sheetPr>
    <pageSetUpPr fitToPage="1"/>
  </sheetPr>
  <dimension ref="A1:Z60"/>
  <sheetViews>
    <sheetView topLeftCell="C1" zoomScale="60" zoomScaleNormal="60" workbookViewId="0">
      <pane ySplit="5" topLeftCell="A16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spans="1:26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6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6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6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</row>
    <row r="5" spans="1:26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W5" s="226"/>
      <c r="X5" s="226"/>
    </row>
    <row r="6" spans="1:26" ht="45.65" customHeight="1" x14ac:dyDescent="0.55000000000000004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2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  <c r="Z6" t="s">
        <v>196</v>
      </c>
    </row>
    <row r="7" spans="1:26" ht="45.65" customHeight="1" x14ac:dyDescent="0.55000000000000004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2" si="1">J7+K7+L7+M7+N7</f>
        <v>150</v>
      </c>
      <c r="P7" s="111">
        <v>0</v>
      </c>
      <c r="Q7" s="111">
        <v>0</v>
      </c>
      <c r="R7" s="111">
        <v>0</v>
      </c>
      <c r="S7" s="111">
        <v>0</v>
      </c>
      <c r="T7" s="112">
        <f>O7-P7-Q7-R7-S7</f>
        <v>150</v>
      </c>
      <c r="U7" s="51"/>
      <c r="W7" s="51"/>
      <c r="X7" s="51"/>
      <c r="Z7" t="s">
        <v>196</v>
      </c>
    </row>
    <row r="8" spans="1:26" ht="45.65" customHeight="1" x14ac:dyDescent="0.55000000000000004">
      <c r="A8" s="105">
        <v>4</v>
      </c>
      <c r="B8" s="106">
        <v>2004</v>
      </c>
      <c r="C8" s="120" t="s">
        <v>99</v>
      </c>
      <c r="D8" s="121" t="s">
        <v>177</v>
      </c>
      <c r="E8" s="121" t="s">
        <v>185</v>
      </c>
      <c r="F8" s="120" t="s">
        <v>147</v>
      </c>
      <c r="G8" s="106">
        <v>255</v>
      </c>
      <c r="H8" s="110">
        <v>26</v>
      </c>
      <c r="I8" s="110">
        <v>0</v>
      </c>
      <c r="J8" s="111">
        <f t="shared" si="0"/>
        <v>255.00000000000003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255.00000000000003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52" si="2">O8-P8-Q8-R8-S8</f>
        <v>255.00000000000003</v>
      </c>
      <c r="U8" s="53"/>
      <c r="W8" s="53"/>
      <c r="X8" s="53"/>
      <c r="Z8" t="s">
        <v>196</v>
      </c>
    </row>
    <row r="9" spans="1:26" ht="45.65" customHeight="1" x14ac:dyDescent="0.55000000000000004">
      <c r="A9" s="105">
        <v>5</v>
      </c>
      <c r="B9" s="106">
        <v>2005</v>
      </c>
      <c r="C9" s="120" t="s">
        <v>100</v>
      </c>
      <c r="D9" s="121" t="s">
        <v>179</v>
      </c>
      <c r="E9" s="121" t="s">
        <v>185</v>
      </c>
      <c r="F9" s="120" t="s">
        <v>148</v>
      </c>
      <c r="G9" s="106">
        <v>150</v>
      </c>
      <c r="H9" s="110">
        <v>26</v>
      </c>
      <c r="I9" s="110">
        <v>0</v>
      </c>
      <c r="J9" s="111">
        <f t="shared" si="0"/>
        <v>150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150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150</v>
      </c>
      <c r="U9" s="53"/>
      <c r="W9" s="53"/>
      <c r="X9" s="53"/>
      <c r="Z9" t="s">
        <v>196</v>
      </c>
    </row>
    <row r="10" spans="1:26" ht="45.65" customHeight="1" x14ac:dyDescent="0.55000000000000004">
      <c r="A10" s="105">
        <v>6</v>
      </c>
      <c r="B10" s="106">
        <v>2006</v>
      </c>
      <c r="C10" s="120" t="s">
        <v>101</v>
      </c>
      <c r="D10" s="121" t="s">
        <v>180</v>
      </c>
      <c r="E10" s="121" t="s">
        <v>189</v>
      </c>
      <c r="F10" s="120"/>
      <c r="G10" s="106">
        <v>430</v>
      </c>
      <c r="H10" s="110">
        <v>26</v>
      </c>
      <c r="I10" s="110">
        <v>0</v>
      </c>
      <c r="J10" s="111">
        <f t="shared" si="0"/>
        <v>430.00000000000006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430.00000000000006</v>
      </c>
      <c r="P10" s="111">
        <v>0</v>
      </c>
      <c r="Q10" s="111">
        <v>0.72</v>
      </c>
      <c r="R10" s="111">
        <v>0</v>
      </c>
      <c r="S10" s="111">
        <v>0</v>
      </c>
      <c r="T10" s="112">
        <f t="shared" si="2"/>
        <v>429.28000000000003</v>
      </c>
      <c r="U10" s="53"/>
      <c r="W10" s="53"/>
      <c r="X10" s="53"/>
      <c r="Z10" t="s">
        <v>196</v>
      </c>
    </row>
    <row r="11" spans="1:26" ht="45.65" customHeight="1" x14ac:dyDescent="0.55000000000000004">
      <c r="A11" s="105">
        <v>7</v>
      </c>
      <c r="B11" s="106">
        <v>2007</v>
      </c>
      <c r="C11" s="120" t="s">
        <v>102</v>
      </c>
      <c r="D11" s="121" t="s">
        <v>177</v>
      </c>
      <c r="E11" s="121" t="s">
        <v>185</v>
      </c>
      <c r="F11" s="120" t="s">
        <v>87</v>
      </c>
      <c r="G11" s="106">
        <v>240</v>
      </c>
      <c r="H11" s="110">
        <v>26</v>
      </c>
      <c r="I11" s="110">
        <v>0</v>
      </c>
      <c r="J11" s="111">
        <f t="shared" si="0"/>
        <v>239.99999999999997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239.99999999999997</v>
      </c>
      <c r="P11" s="111">
        <v>0</v>
      </c>
      <c r="Q11" s="111">
        <v>0.43</v>
      </c>
      <c r="R11" s="111">
        <v>50</v>
      </c>
      <c r="S11" s="111">
        <v>0</v>
      </c>
      <c r="T11" s="112">
        <f t="shared" si="2"/>
        <v>189.56999999999996</v>
      </c>
      <c r="U11" s="156"/>
      <c r="W11" s="53"/>
      <c r="X11" s="53"/>
      <c r="Z11" t="s">
        <v>196</v>
      </c>
    </row>
    <row r="12" spans="1:26" ht="45.65" customHeight="1" x14ac:dyDescent="0.55000000000000004">
      <c r="A12" s="105">
        <v>8</v>
      </c>
      <c r="B12" s="106">
        <v>2008</v>
      </c>
      <c r="C12" s="120" t="s">
        <v>103</v>
      </c>
      <c r="D12" s="121" t="s">
        <v>177</v>
      </c>
      <c r="E12" s="121" t="s">
        <v>186</v>
      </c>
      <c r="F12" s="120" t="s">
        <v>149</v>
      </c>
      <c r="G12" s="106">
        <v>330</v>
      </c>
      <c r="H12" s="110">
        <v>26</v>
      </c>
      <c r="I12" s="110">
        <v>0</v>
      </c>
      <c r="J12" s="111">
        <f t="shared" si="0"/>
        <v>330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330</v>
      </c>
      <c r="P12" s="111">
        <v>0</v>
      </c>
      <c r="Q12" s="111">
        <v>0</v>
      </c>
      <c r="R12" s="111">
        <v>0</v>
      </c>
      <c r="S12" s="111">
        <v>0</v>
      </c>
      <c r="T12" s="112">
        <f t="shared" si="2"/>
        <v>330</v>
      </c>
      <c r="U12" s="53"/>
      <c r="W12" s="53"/>
      <c r="X12" s="53"/>
      <c r="Z12" t="s">
        <v>196</v>
      </c>
    </row>
    <row r="13" spans="1:26" ht="45.65" customHeight="1" x14ac:dyDescent="0.55000000000000004">
      <c r="A13" s="105">
        <v>9</v>
      </c>
      <c r="B13" s="106">
        <v>2009</v>
      </c>
      <c r="C13" s="120" t="s">
        <v>104</v>
      </c>
      <c r="D13" s="121" t="s">
        <v>178</v>
      </c>
      <c r="E13" s="121" t="s">
        <v>185</v>
      </c>
      <c r="F13" s="120" t="s">
        <v>89</v>
      </c>
      <c r="G13" s="106">
        <v>160</v>
      </c>
      <c r="H13" s="110">
        <v>26</v>
      </c>
      <c r="I13" s="110">
        <v>0</v>
      </c>
      <c r="J13" s="111">
        <f t="shared" si="0"/>
        <v>160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160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160</v>
      </c>
      <c r="U13" s="53"/>
      <c r="W13" s="53"/>
      <c r="X13" s="53"/>
      <c r="Z13" t="s">
        <v>196</v>
      </c>
    </row>
    <row r="14" spans="1:26" ht="45.65" customHeight="1" x14ac:dyDescent="0.55000000000000004">
      <c r="A14" s="105">
        <v>9</v>
      </c>
      <c r="B14" s="106">
        <v>2009</v>
      </c>
      <c r="C14" s="120" t="s">
        <v>194</v>
      </c>
      <c r="D14" s="121" t="s">
        <v>181</v>
      </c>
      <c r="E14" s="121" t="s">
        <v>185</v>
      </c>
      <c r="F14" s="120" t="s">
        <v>89</v>
      </c>
      <c r="G14" s="106">
        <v>155</v>
      </c>
      <c r="H14" s="110">
        <v>26</v>
      </c>
      <c r="I14" s="110">
        <v>0</v>
      </c>
      <c r="J14" s="111">
        <f t="shared" si="0"/>
        <v>155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155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155</v>
      </c>
      <c r="U14" s="53"/>
      <c r="W14" s="53"/>
      <c r="X14" s="53"/>
      <c r="Z14" t="s">
        <v>196</v>
      </c>
    </row>
    <row r="15" spans="1:26" ht="45.65" customHeight="1" x14ac:dyDescent="0.55000000000000004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W15" s="53"/>
      <c r="X15" s="53"/>
      <c r="Z15" t="s">
        <v>196</v>
      </c>
    </row>
    <row r="16" spans="1:26" ht="45.65" customHeight="1" x14ac:dyDescent="0.55000000000000004">
      <c r="A16" s="105">
        <v>11</v>
      </c>
      <c r="B16" s="106">
        <v>2011</v>
      </c>
      <c r="C16" s="120" t="s">
        <v>106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W16" s="53"/>
      <c r="X16" s="53"/>
      <c r="Z16" t="s">
        <v>196</v>
      </c>
    </row>
    <row r="17" spans="1:26" ht="45.65" customHeight="1" x14ac:dyDescent="0.55000000000000004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450</v>
      </c>
      <c r="U17" s="53"/>
      <c r="W17" s="53"/>
      <c r="X17" s="53"/>
      <c r="Z17" t="s">
        <v>196</v>
      </c>
    </row>
    <row r="18" spans="1:26" ht="45.65" customHeight="1" x14ac:dyDescent="0.55000000000000004">
      <c r="A18" s="105">
        <v>13</v>
      </c>
      <c r="B18" s="106">
        <v>2013</v>
      </c>
      <c r="C18" s="120" t="s">
        <v>108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W18" s="53"/>
      <c r="X18" s="53"/>
      <c r="Z18" t="s">
        <v>196</v>
      </c>
    </row>
    <row r="19" spans="1:26" ht="45.65" customHeight="1" x14ac:dyDescent="0.55000000000000004">
      <c r="A19" s="105">
        <v>14</v>
      </c>
      <c r="B19" s="106">
        <v>2014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300</v>
      </c>
      <c r="U19" s="53"/>
      <c r="W19" s="53"/>
      <c r="X19" s="53"/>
      <c r="Z19" t="s">
        <v>196</v>
      </c>
    </row>
    <row r="20" spans="1:26" ht="45.65" customHeight="1" x14ac:dyDescent="0.55000000000000004">
      <c r="A20" s="105">
        <v>14</v>
      </c>
      <c r="B20" s="106">
        <v>2014</v>
      </c>
      <c r="C20" s="120" t="s">
        <v>193</v>
      </c>
      <c r="D20" s="121" t="s">
        <v>177</v>
      </c>
      <c r="E20" s="121" t="s">
        <v>185</v>
      </c>
      <c r="F20" s="120"/>
      <c r="G20" s="106">
        <v>200</v>
      </c>
      <c r="H20" s="110">
        <v>26</v>
      </c>
      <c r="I20" s="110">
        <v>0</v>
      </c>
      <c r="J20" s="111">
        <f t="shared" si="0"/>
        <v>200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200</v>
      </c>
      <c r="P20" s="111">
        <v>0</v>
      </c>
      <c r="Q20" s="111">
        <v>83.65</v>
      </c>
      <c r="R20" s="111">
        <v>0</v>
      </c>
      <c r="S20" s="111">
        <v>0</v>
      </c>
      <c r="T20" s="112">
        <f t="shared" si="2"/>
        <v>116.35</v>
      </c>
      <c r="U20" s="53"/>
      <c r="W20" s="53"/>
      <c r="X20" s="53"/>
      <c r="Z20" t="s">
        <v>196</v>
      </c>
    </row>
    <row r="21" spans="1:26" ht="45.65" customHeight="1" x14ac:dyDescent="0.55000000000000004">
      <c r="A21" s="105">
        <v>15</v>
      </c>
      <c r="B21" s="106">
        <v>2015</v>
      </c>
      <c r="C21" s="120" t="s">
        <v>110</v>
      </c>
      <c r="D21" s="121" t="s">
        <v>181</v>
      </c>
      <c r="E21" s="121" t="s">
        <v>189</v>
      </c>
      <c r="F21" s="120"/>
      <c r="G21" s="106">
        <v>250</v>
      </c>
      <c r="H21" s="110">
        <v>26</v>
      </c>
      <c r="I21" s="110">
        <v>0</v>
      </c>
      <c r="J21" s="111">
        <f t="shared" si="0"/>
        <v>250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250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250</v>
      </c>
      <c r="U21" s="53"/>
      <c r="W21" s="119"/>
      <c r="X21" s="118"/>
      <c r="Z21" t="s">
        <v>196</v>
      </c>
    </row>
    <row r="22" spans="1:26" ht="45.65" customHeight="1" x14ac:dyDescent="0.55000000000000004">
      <c r="A22" s="105">
        <v>16</v>
      </c>
      <c r="B22" s="106">
        <v>2016</v>
      </c>
      <c r="C22" s="120" t="s">
        <v>111</v>
      </c>
      <c r="D22" s="121" t="s">
        <v>182</v>
      </c>
      <c r="E22" s="121" t="s">
        <v>185</v>
      </c>
      <c r="F22" s="120"/>
      <c r="G22" s="106">
        <v>100</v>
      </c>
      <c r="H22" s="110">
        <v>26</v>
      </c>
      <c r="I22" s="110">
        <v>0</v>
      </c>
      <c r="J22" s="111">
        <f t="shared" si="0"/>
        <v>100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100</v>
      </c>
      <c r="P22" s="111">
        <v>0</v>
      </c>
      <c r="Q22" s="111">
        <v>0</v>
      </c>
      <c r="R22" s="111">
        <v>0</v>
      </c>
      <c r="S22" s="111">
        <v>0</v>
      </c>
      <c r="T22" s="112">
        <f t="shared" si="2"/>
        <v>100</v>
      </c>
      <c r="U22" s="53"/>
      <c r="W22" s="53"/>
      <c r="X22" s="53"/>
      <c r="Z22" t="s">
        <v>196</v>
      </c>
    </row>
    <row r="23" spans="1:26" ht="45.65" customHeight="1" x14ac:dyDescent="0.55000000000000004">
      <c r="A23" s="105">
        <v>17</v>
      </c>
      <c r="B23" s="106">
        <v>2017</v>
      </c>
      <c r="C23" s="120" t="s">
        <v>112</v>
      </c>
      <c r="D23" s="121" t="s">
        <v>177</v>
      </c>
      <c r="E23" s="121" t="s">
        <v>189</v>
      </c>
      <c r="F23" s="120" t="s">
        <v>155</v>
      </c>
      <c r="G23" s="106">
        <v>450</v>
      </c>
      <c r="H23" s="110">
        <v>26</v>
      </c>
      <c r="I23" s="110">
        <v>0</v>
      </c>
      <c r="J23" s="111">
        <f t="shared" si="0"/>
        <v>450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450</v>
      </c>
      <c r="P23" s="111">
        <v>0</v>
      </c>
      <c r="Q23" s="111">
        <v>0</v>
      </c>
      <c r="R23" s="111">
        <v>50</v>
      </c>
      <c r="S23" s="111">
        <v>0</v>
      </c>
      <c r="T23" s="112">
        <f t="shared" si="2"/>
        <v>400</v>
      </c>
      <c r="U23" s="53"/>
      <c r="W23" s="53"/>
      <c r="X23" s="53"/>
      <c r="Z23" t="s">
        <v>196</v>
      </c>
    </row>
    <row r="24" spans="1:26" ht="45.65" customHeight="1" x14ac:dyDescent="0.55000000000000004">
      <c r="A24" s="105">
        <v>18</v>
      </c>
      <c r="B24" s="106">
        <v>2018</v>
      </c>
      <c r="C24" s="120" t="s">
        <v>113</v>
      </c>
      <c r="D24" s="121" t="s">
        <v>177</v>
      </c>
      <c r="E24" s="121" t="s">
        <v>185</v>
      </c>
      <c r="F24" s="120" t="s">
        <v>156</v>
      </c>
      <c r="G24" s="106">
        <v>300</v>
      </c>
      <c r="H24" s="110">
        <v>26</v>
      </c>
      <c r="I24" s="110">
        <v>0</v>
      </c>
      <c r="J24" s="111">
        <f t="shared" si="0"/>
        <v>300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300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300</v>
      </c>
      <c r="U24" s="53"/>
      <c r="W24" s="53"/>
      <c r="X24" s="53"/>
      <c r="Z24" t="s">
        <v>196</v>
      </c>
    </row>
    <row r="25" spans="1:26" ht="45.65" customHeight="1" x14ac:dyDescent="0.55000000000000004">
      <c r="A25" s="105">
        <v>19</v>
      </c>
      <c r="B25" s="106">
        <v>2019</v>
      </c>
      <c r="C25" s="120" t="s">
        <v>114</v>
      </c>
      <c r="D25" s="121" t="s">
        <v>180</v>
      </c>
      <c r="E25" s="121" t="s">
        <v>185</v>
      </c>
      <c r="F25" s="120" t="s">
        <v>157</v>
      </c>
      <c r="G25" s="106">
        <v>50</v>
      </c>
      <c r="H25" s="110">
        <v>26</v>
      </c>
      <c r="I25" s="110">
        <v>0</v>
      </c>
      <c r="J25" s="111">
        <f t="shared" si="0"/>
        <v>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50</v>
      </c>
      <c r="U25" s="53"/>
      <c r="W25" s="53"/>
      <c r="X25" s="53"/>
      <c r="Z25" t="s">
        <v>196</v>
      </c>
    </row>
    <row r="26" spans="1:26" ht="45.65" customHeight="1" x14ac:dyDescent="0.55000000000000004">
      <c r="A26" s="105">
        <v>20</v>
      </c>
      <c r="B26" s="106">
        <v>2020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W26" s="53"/>
      <c r="X26" s="53"/>
      <c r="Z26" t="s">
        <v>196</v>
      </c>
    </row>
    <row r="27" spans="1:26" ht="45.65" customHeight="1" x14ac:dyDescent="0.55000000000000004">
      <c r="A27" s="105">
        <v>21</v>
      </c>
      <c r="B27" s="106">
        <v>2021</v>
      </c>
      <c r="C27" s="120" t="s">
        <v>116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W27" s="53"/>
      <c r="X27" s="53"/>
      <c r="Z27" t="s">
        <v>196</v>
      </c>
    </row>
    <row r="28" spans="1:26" ht="45.65" customHeight="1" x14ac:dyDescent="0.55000000000000004">
      <c r="A28" s="105">
        <v>22</v>
      </c>
      <c r="B28" s="106">
        <v>2022</v>
      </c>
      <c r="C28" s="120" t="s">
        <v>117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  <c r="W28" s="53"/>
      <c r="X28" s="53"/>
      <c r="Z28" t="s">
        <v>196</v>
      </c>
    </row>
    <row r="29" spans="1:26" ht="45.65" customHeight="1" x14ac:dyDescent="0.55000000000000004">
      <c r="A29" s="105">
        <v>23</v>
      </c>
      <c r="B29" s="106">
        <v>2023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100</v>
      </c>
      <c r="U29" s="53"/>
      <c r="W29" s="53"/>
      <c r="X29" s="53"/>
      <c r="Z29" t="s">
        <v>196</v>
      </c>
    </row>
    <row r="30" spans="1:26" ht="45.65" customHeight="1" x14ac:dyDescent="0.55000000000000004">
      <c r="A30" s="105">
        <v>24</v>
      </c>
      <c r="B30" s="106">
        <v>2024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80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80</v>
      </c>
      <c r="U30" s="53"/>
      <c r="W30" s="53"/>
      <c r="X30" s="53"/>
      <c r="Z30" t="s">
        <v>196</v>
      </c>
    </row>
    <row r="31" spans="1:26" ht="45.65" customHeight="1" x14ac:dyDescent="0.55000000000000004">
      <c r="A31" s="105">
        <v>25</v>
      </c>
      <c r="B31" s="106">
        <v>2025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W31" s="53"/>
      <c r="X31" s="53"/>
      <c r="Z31" t="s">
        <v>196</v>
      </c>
    </row>
    <row r="32" spans="1:26" ht="45.65" customHeight="1" x14ac:dyDescent="0.55000000000000004">
      <c r="A32" s="105">
        <v>26</v>
      </c>
      <c r="B32" s="106">
        <v>2026</v>
      </c>
      <c r="C32" s="120" t="s">
        <v>121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150</v>
      </c>
      <c r="U32" s="53"/>
      <c r="W32" s="53"/>
      <c r="X32" s="53"/>
      <c r="Z32" t="s">
        <v>196</v>
      </c>
    </row>
    <row r="33" spans="1:26" ht="45.65" customHeight="1" x14ac:dyDescent="0.55000000000000004">
      <c r="A33" s="105">
        <v>27</v>
      </c>
      <c r="B33" s="106">
        <v>2027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200</v>
      </c>
      <c r="U33" s="53"/>
      <c r="W33" s="53"/>
      <c r="X33" s="53"/>
      <c r="Z33" t="s">
        <v>196</v>
      </c>
    </row>
    <row r="34" spans="1:26" ht="45.65" customHeight="1" x14ac:dyDescent="0.55000000000000004">
      <c r="A34" s="105">
        <v>28</v>
      </c>
      <c r="B34" s="106">
        <v>2028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250</v>
      </c>
      <c r="U34" s="53"/>
      <c r="W34" s="53"/>
      <c r="X34" s="118"/>
      <c r="Z34" t="s">
        <v>196</v>
      </c>
    </row>
    <row r="35" spans="1:26" ht="45.65" customHeight="1" x14ac:dyDescent="0.55000000000000004">
      <c r="A35" s="105">
        <v>29</v>
      </c>
      <c r="B35" s="106">
        <v>2029</v>
      </c>
      <c r="C35" s="120" t="s">
        <v>124</v>
      </c>
      <c r="D35" s="121" t="s">
        <v>177</v>
      </c>
      <c r="E35" s="121" t="s">
        <v>185</v>
      </c>
      <c r="F35" s="120" t="s">
        <v>159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W35" s="53"/>
      <c r="X35" s="53"/>
      <c r="Z35" t="s">
        <v>196</v>
      </c>
    </row>
    <row r="36" spans="1:26" ht="45.65" customHeight="1" x14ac:dyDescent="0.55000000000000004">
      <c r="A36" s="105">
        <v>30</v>
      </c>
      <c r="B36" s="106">
        <v>2030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50</v>
      </c>
      <c r="S36" s="111">
        <v>0</v>
      </c>
      <c r="T36" s="112">
        <f t="shared" si="2"/>
        <v>220</v>
      </c>
      <c r="U36" s="53"/>
      <c r="W36" s="53"/>
      <c r="X36" s="53"/>
      <c r="Z36" t="s">
        <v>196</v>
      </c>
    </row>
    <row r="37" spans="1:26" ht="45.65" customHeight="1" x14ac:dyDescent="0.55000000000000004">
      <c r="A37" s="105">
        <v>31</v>
      </c>
      <c r="B37" s="106">
        <v>2031</v>
      </c>
      <c r="C37" s="120" t="s">
        <v>126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280</v>
      </c>
      <c r="U37" s="53"/>
      <c r="W37" s="53"/>
      <c r="X37" s="53"/>
      <c r="Z37" t="s">
        <v>196</v>
      </c>
    </row>
    <row r="38" spans="1:26" ht="45.65" customHeight="1" x14ac:dyDescent="0.55000000000000004">
      <c r="A38" s="105">
        <v>32</v>
      </c>
      <c r="B38" s="106">
        <v>2032</v>
      </c>
      <c r="C38" s="120" t="s">
        <v>127</v>
      </c>
      <c r="D38" s="121" t="s">
        <v>177</v>
      </c>
      <c r="E38" s="121" t="s">
        <v>191</v>
      </c>
      <c r="F38" s="120" t="s">
        <v>161</v>
      </c>
      <c r="G38" s="106">
        <v>200</v>
      </c>
      <c r="H38" s="110">
        <v>26</v>
      </c>
      <c r="I38" s="110">
        <v>0</v>
      </c>
      <c r="J38" s="111">
        <f t="shared" si="0"/>
        <v>200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200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200</v>
      </c>
      <c r="U38" s="53"/>
      <c r="W38" s="53"/>
      <c r="X38" s="53"/>
      <c r="Z38" t="s">
        <v>196</v>
      </c>
    </row>
    <row r="39" spans="1:26" ht="45.65" customHeight="1" x14ac:dyDescent="0.55000000000000004">
      <c r="A39" s="105">
        <v>33</v>
      </c>
      <c r="B39" s="106">
        <v>2033</v>
      </c>
      <c r="C39" s="120" t="s">
        <v>128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0</v>
      </c>
      <c r="R39" s="111">
        <v>0</v>
      </c>
      <c r="S39" s="151">
        <v>200</v>
      </c>
      <c r="T39" s="112">
        <f t="shared" si="2"/>
        <v>400</v>
      </c>
      <c r="U39" s="53" t="s">
        <v>176</v>
      </c>
      <c r="W39" s="53">
        <v>600</v>
      </c>
      <c r="X39" s="118">
        <v>-200</v>
      </c>
      <c r="Z39" t="s">
        <v>196</v>
      </c>
    </row>
    <row r="40" spans="1:26" ht="45.65" customHeight="1" x14ac:dyDescent="0.55000000000000004">
      <c r="A40" s="105">
        <v>34</v>
      </c>
      <c r="B40" s="106">
        <v>2034</v>
      </c>
      <c r="C40" s="120" t="s">
        <v>129</v>
      </c>
      <c r="D40" s="121" t="s">
        <v>177</v>
      </c>
      <c r="E40" s="121" t="s">
        <v>191</v>
      </c>
      <c r="F40" s="120" t="s">
        <v>162</v>
      </c>
      <c r="G40" s="106">
        <v>450</v>
      </c>
      <c r="H40" s="110">
        <v>26</v>
      </c>
      <c r="I40" s="110">
        <v>0</v>
      </c>
      <c r="J40" s="111">
        <f t="shared" si="0"/>
        <v>450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450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2"/>
        <v>450</v>
      </c>
      <c r="U40" s="53"/>
      <c r="W40" s="53"/>
      <c r="X40" s="53"/>
      <c r="Z40" t="s">
        <v>196</v>
      </c>
    </row>
    <row r="41" spans="1:26" ht="45.65" customHeight="1" x14ac:dyDescent="0.55000000000000004">
      <c r="A41" s="105">
        <v>35</v>
      </c>
      <c r="B41" s="106">
        <v>2035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550</v>
      </c>
      <c r="U41" s="53"/>
      <c r="W41" s="53"/>
      <c r="X41" s="53"/>
      <c r="Z41" t="s">
        <v>196</v>
      </c>
    </row>
    <row r="42" spans="1:26" ht="45.65" customHeight="1" x14ac:dyDescent="0.55000000000000004">
      <c r="A42" s="105">
        <v>36</v>
      </c>
      <c r="B42" s="106">
        <v>2036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2"/>
        <v>450</v>
      </c>
      <c r="U42" s="53"/>
      <c r="W42" s="53"/>
      <c r="X42" s="53"/>
      <c r="Z42" t="s">
        <v>196</v>
      </c>
    </row>
    <row r="43" spans="1:26" ht="45.65" customHeight="1" x14ac:dyDescent="0.55000000000000004">
      <c r="A43" s="105">
        <v>37</v>
      </c>
      <c r="B43" s="106">
        <v>2037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26</v>
      </c>
      <c r="I43" s="110">
        <v>0</v>
      </c>
      <c r="J43" s="111">
        <f t="shared" si="0"/>
        <v>450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450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450</v>
      </c>
      <c r="U43" s="53"/>
      <c r="W43" s="53"/>
      <c r="X43" s="53"/>
      <c r="Z43" t="s">
        <v>196</v>
      </c>
    </row>
    <row r="44" spans="1:26" ht="45.65" customHeight="1" x14ac:dyDescent="0.55000000000000004">
      <c r="A44" s="105">
        <v>38</v>
      </c>
      <c r="B44" s="106">
        <v>2038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260</v>
      </c>
      <c r="U44" s="53"/>
      <c r="W44" s="53"/>
      <c r="X44" s="53"/>
      <c r="Z44" t="s">
        <v>196</v>
      </c>
    </row>
    <row r="45" spans="1:26" ht="45.65" customHeight="1" x14ac:dyDescent="0.55000000000000004">
      <c r="A45" s="105">
        <v>39</v>
      </c>
      <c r="B45" s="106">
        <v>2039</v>
      </c>
      <c r="C45" s="120" t="s">
        <v>134</v>
      </c>
      <c r="D45" s="121" t="s">
        <v>177</v>
      </c>
      <c r="E45" s="121" t="s">
        <v>185</v>
      </c>
      <c r="F45" s="120" t="s">
        <v>89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11">
        <v>0</v>
      </c>
      <c r="M45" s="111">
        <v>0</v>
      </c>
      <c r="N45" s="111">
        <v>120</v>
      </c>
      <c r="O45" s="111">
        <f t="shared" si="1"/>
        <v>240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240</v>
      </c>
      <c r="U45" s="53"/>
      <c r="W45" s="53"/>
      <c r="X45" s="53"/>
      <c r="Z45" t="s">
        <v>196</v>
      </c>
    </row>
    <row r="46" spans="1:26" ht="45.65" customHeight="1" x14ac:dyDescent="0.55000000000000004">
      <c r="A46" s="105">
        <v>50</v>
      </c>
      <c r="B46" s="106">
        <v>2050</v>
      </c>
      <c r="C46" s="154" t="s">
        <v>173</v>
      </c>
      <c r="D46" s="108" t="s">
        <v>177</v>
      </c>
      <c r="E46" s="108" t="s">
        <v>185</v>
      </c>
      <c r="F46" s="107"/>
      <c r="G46" s="141">
        <v>600</v>
      </c>
      <c r="H46" s="110">
        <v>26</v>
      </c>
      <c r="I46" s="110">
        <v>0</v>
      </c>
      <c r="J46" s="111">
        <f t="shared" si="0"/>
        <v>600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600</v>
      </c>
      <c r="P46" s="111">
        <v>0</v>
      </c>
      <c r="Q46" s="153">
        <v>0</v>
      </c>
      <c r="R46" s="111">
        <v>0</v>
      </c>
      <c r="S46" s="151">
        <v>176.3</v>
      </c>
      <c r="T46" s="112">
        <f t="shared" si="2"/>
        <v>423.7</v>
      </c>
      <c r="U46" s="53" t="s">
        <v>176</v>
      </c>
      <c r="W46" s="53">
        <v>600</v>
      </c>
      <c r="X46" s="118">
        <v>-176.3</v>
      </c>
      <c r="Z46" t="s">
        <v>196</v>
      </c>
    </row>
    <row r="47" spans="1:26" ht="45.65" customHeight="1" x14ac:dyDescent="0.55000000000000004">
      <c r="A47" s="105">
        <v>51</v>
      </c>
      <c r="B47" s="106">
        <v>2051</v>
      </c>
      <c r="C47" s="154" t="s">
        <v>174</v>
      </c>
      <c r="D47" s="108" t="s">
        <v>177</v>
      </c>
      <c r="E47" s="108" t="s">
        <v>185</v>
      </c>
      <c r="F47" s="107"/>
      <c r="G47" s="141">
        <v>413.2</v>
      </c>
      <c r="H47" s="110">
        <v>26</v>
      </c>
      <c r="I47" s="110">
        <v>0</v>
      </c>
      <c r="J47" s="111">
        <f t="shared" si="0"/>
        <v>413.2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413.2</v>
      </c>
      <c r="P47" s="111">
        <v>0</v>
      </c>
      <c r="Q47" s="111">
        <v>2.5</v>
      </c>
      <c r="R47" s="111">
        <v>0</v>
      </c>
      <c r="S47" s="111">
        <v>0</v>
      </c>
      <c r="T47" s="112">
        <f t="shared" si="2"/>
        <v>410.7</v>
      </c>
      <c r="U47" s="53"/>
      <c r="W47" s="53"/>
      <c r="X47" s="118"/>
      <c r="Z47" t="s">
        <v>196</v>
      </c>
    </row>
    <row r="48" spans="1:26" ht="45.65" customHeight="1" x14ac:dyDescent="0.55000000000000004">
      <c r="A48" s="105">
        <v>52</v>
      </c>
      <c r="B48" s="106">
        <v>2052</v>
      </c>
      <c r="C48" s="154" t="s">
        <v>175</v>
      </c>
      <c r="D48" s="108"/>
      <c r="E48" s="108" t="s">
        <v>192</v>
      </c>
      <c r="F48" s="107"/>
      <c r="G48" s="109">
        <v>300</v>
      </c>
      <c r="H48" s="110">
        <v>26</v>
      </c>
      <c r="I48" s="110">
        <v>0</v>
      </c>
      <c r="J48" s="111">
        <f t="shared" si="0"/>
        <v>300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300</v>
      </c>
      <c r="P48" s="111">
        <v>0</v>
      </c>
      <c r="Q48" s="153">
        <v>0</v>
      </c>
      <c r="R48" s="111">
        <v>0</v>
      </c>
      <c r="S48" s="151">
        <v>300</v>
      </c>
      <c r="T48" s="112">
        <f t="shared" si="2"/>
        <v>0</v>
      </c>
      <c r="U48" s="53" t="s">
        <v>176</v>
      </c>
      <c r="W48" s="53">
        <v>300</v>
      </c>
      <c r="X48" s="118">
        <v>-300</v>
      </c>
      <c r="Z48" t="s">
        <v>196</v>
      </c>
    </row>
    <row r="49" spans="1:26" ht="45.65" customHeight="1" x14ac:dyDescent="0.55000000000000004">
      <c r="A49" s="105">
        <v>53</v>
      </c>
      <c r="B49" s="106">
        <v>2053</v>
      </c>
      <c r="C49" s="154" t="s">
        <v>145</v>
      </c>
      <c r="D49" s="108"/>
      <c r="E49" s="108" t="s">
        <v>192</v>
      </c>
      <c r="F49" s="107"/>
      <c r="G49" s="109">
        <v>600</v>
      </c>
      <c r="H49" s="110">
        <v>26</v>
      </c>
      <c r="I49" s="110">
        <v>0</v>
      </c>
      <c r="J49" s="111">
        <f t="shared" si="0"/>
        <v>600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600</v>
      </c>
      <c r="P49" s="111">
        <v>0</v>
      </c>
      <c r="Q49" s="153">
        <v>0</v>
      </c>
      <c r="R49" s="111">
        <v>0</v>
      </c>
      <c r="S49" s="151">
        <v>600</v>
      </c>
      <c r="T49" s="112">
        <f t="shared" si="2"/>
        <v>0</v>
      </c>
      <c r="U49" s="52" t="s">
        <v>176</v>
      </c>
      <c r="W49" s="53">
        <v>600</v>
      </c>
      <c r="X49" s="118">
        <v>-600</v>
      </c>
      <c r="Z49" t="s">
        <v>196</v>
      </c>
    </row>
    <row r="50" spans="1:26" ht="45.65" customHeight="1" x14ac:dyDescent="0.55000000000000004">
      <c r="A50" s="105">
        <v>54</v>
      </c>
      <c r="B50" s="106">
        <v>2054</v>
      </c>
      <c r="C50" s="107"/>
      <c r="D50" s="108"/>
      <c r="E50" s="108"/>
      <c r="F50" s="107"/>
      <c r="G50" s="109"/>
      <c r="H50" s="110">
        <v>26</v>
      </c>
      <c r="I50" s="110">
        <v>0</v>
      </c>
      <c r="J50" s="111">
        <f t="shared" si="0"/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0</v>
      </c>
      <c r="U50" s="51"/>
      <c r="W50" s="53"/>
      <c r="X50" s="118"/>
    </row>
    <row r="51" spans="1:26" ht="45.65" customHeight="1" x14ac:dyDescent="0.55000000000000004">
      <c r="A51" s="105">
        <v>55</v>
      </c>
      <c r="B51" s="106">
        <v>2055</v>
      </c>
      <c r="C51" s="107"/>
      <c r="D51" s="108"/>
      <c r="E51" s="108"/>
      <c r="F51" s="107"/>
      <c r="G51" s="109"/>
      <c r="H51" s="110">
        <v>26</v>
      </c>
      <c r="I51" s="110">
        <v>0</v>
      </c>
      <c r="J51" s="111">
        <f t="shared" si="0"/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0</v>
      </c>
      <c r="U51" s="51"/>
      <c r="W51" s="53"/>
      <c r="X51" s="118"/>
    </row>
    <row r="52" spans="1:26" ht="45.65" customHeight="1" thickBot="1" x14ac:dyDescent="0.6">
      <c r="A52" s="142">
        <v>56</v>
      </c>
      <c r="B52" s="143">
        <v>2056</v>
      </c>
      <c r="C52" s="144"/>
      <c r="D52" s="145"/>
      <c r="E52" s="145"/>
      <c r="F52" s="144"/>
      <c r="G52" s="146"/>
      <c r="H52" s="147">
        <v>26</v>
      </c>
      <c r="I52" s="147">
        <v>0</v>
      </c>
      <c r="J52" s="148">
        <f t="shared" si="0"/>
        <v>0</v>
      </c>
      <c r="K52" s="148">
        <v>0</v>
      </c>
      <c r="L52" s="148">
        <v>0</v>
      </c>
      <c r="M52" s="148">
        <v>0</v>
      </c>
      <c r="N52" s="148">
        <v>0</v>
      </c>
      <c r="O52" s="148">
        <f t="shared" si="1"/>
        <v>0</v>
      </c>
      <c r="P52" s="148">
        <v>0</v>
      </c>
      <c r="Q52" s="148">
        <v>0</v>
      </c>
      <c r="R52" s="148">
        <v>0</v>
      </c>
      <c r="S52" s="148">
        <v>0</v>
      </c>
      <c r="T52" s="149">
        <f t="shared" si="2"/>
        <v>0</v>
      </c>
      <c r="U52" s="54"/>
      <c r="W52" s="53"/>
      <c r="X52" s="118"/>
    </row>
    <row r="53" spans="1:26" ht="50.15" customHeight="1" thickBot="1" x14ac:dyDescent="0.45">
      <c r="A53" s="256" t="s">
        <v>0</v>
      </c>
      <c r="B53" s="257"/>
      <c r="C53" s="257"/>
      <c r="D53" s="257"/>
      <c r="E53" s="257"/>
      <c r="F53" s="257"/>
      <c r="G53" s="257"/>
      <c r="H53" s="257"/>
      <c r="I53" s="258"/>
      <c r="J53" s="116">
        <f t="shared" ref="J53:T53" si="3">SUBTOTAL(9,J6:J52)</f>
        <v>13093.2</v>
      </c>
      <c r="K53" s="116">
        <f t="shared" si="3"/>
        <v>0</v>
      </c>
      <c r="L53" s="116">
        <f t="shared" si="3"/>
        <v>0</v>
      </c>
      <c r="M53" s="116">
        <f t="shared" si="3"/>
        <v>0</v>
      </c>
      <c r="N53" s="116">
        <f t="shared" si="3"/>
        <v>420</v>
      </c>
      <c r="O53" s="116">
        <f t="shared" si="3"/>
        <v>13513.2</v>
      </c>
      <c r="P53" s="116">
        <f t="shared" si="3"/>
        <v>0</v>
      </c>
      <c r="Q53" s="116">
        <f t="shared" si="3"/>
        <v>87.300000000000011</v>
      </c>
      <c r="R53" s="116">
        <f t="shared" si="3"/>
        <v>150</v>
      </c>
      <c r="S53" s="152">
        <f t="shared" si="3"/>
        <v>1276.3</v>
      </c>
      <c r="T53" s="124">
        <f t="shared" si="3"/>
        <v>11999.600000000002</v>
      </c>
      <c r="U53" s="116"/>
      <c r="W53" s="116">
        <f t="shared" ref="W53:X53" si="4">SUBTOTAL(9,W6:W52)</f>
        <v>2100</v>
      </c>
      <c r="X53" s="116">
        <f t="shared" si="4"/>
        <v>-1276.3</v>
      </c>
    </row>
    <row r="55" spans="1:26" x14ac:dyDescent="0.4">
      <c r="O55" s="123"/>
    </row>
    <row r="56" spans="1:26" x14ac:dyDescent="0.4">
      <c r="O56" s="123">
        <f>O53-Q53</f>
        <v>13425.900000000001</v>
      </c>
    </row>
    <row r="57" spans="1:26" x14ac:dyDescent="0.4">
      <c r="O57" s="123"/>
    </row>
    <row r="59" spans="1:26" x14ac:dyDescent="0.4">
      <c r="O59" s="123"/>
    </row>
    <row r="60" spans="1:26" x14ac:dyDescent="0.4">
      <c r="T60" t="s">
        <v>195</v>
      </c>
    </row>
  </sheetData>
  <autoFilter ref="A5:X52" xr:uid="{00000000-0001-0000-0300-000000000000}"/>
  <mergeCells count="18"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  <mergeCell ref="A53:I53"/>
    <mergeCell ref="I4:I5"/>
    <mergeCell ref="J4:O4"/>
    <mergeCell ref="P4:S4"/>
    <mergeCell ref="T4:T5"/>
  </mergeCells>
  <conditionalFormatting sqref="C6:C44 C46:C52">
    <cfRule type="duplicateValues" dxfId="20" priority="823"/>
  </conditionalFormatting>
  <conditionalFormatting sqref="C45">
    <cfRule type="duplicateValues" dxfId="19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5D0B-0F16-4120-A001-34CEF2DF516D}">
  <sheetPr>
    <pageSetUpPr fitToPage="1"/>
  </sheetPr>
  <dimension ref="A1:Z62"/>
  <sheetViews>
    <sheetView zoomScale="60" zoomScaleNormal="60" workbookViewId="0">
      <pane ySplit="5" topLeftCell="A14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spans="1:26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6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6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6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</row>
    <row r="5" spans="1:26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W5" s="226"/>
      <c r="X5" s="226"/>
    </row>
    <row r="6" spans="1:26" ht="45.65" customHeight="1" x14ac:dyDescent="0.55000000000000004">
      <c r="A6" s="105">
        <v>1</v>
      </c>
      <c r="B6" s="106">
        <v>2001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4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  <c r="Z6" t="s">
        <v>196</v>
      </c>
    </row>
    <row r="7" spans="1:26" ht="45.65" customHeight="1" x14ac:dyDescent="0.55000000000000004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4" si="1">J7+K7+L7+M7+N7</f>
        <v>150</v>
      </c>
      <c r="P7" s="111">
        <v>0</v>
      </c>
      <c r="Q7" s="111">
        <v>28.85</v>
      </c>
      <c r="R7" s="111">
        <v>0</v>
      </c>
      <c r="S7" s="111">
        <v>0</v>
      </c>
      <c r="T7" s="112">
        <v>121.15</v>
      </c>
      <c r="U7" s="51"/>
      <c r="W7" s="51"/>
      <c r="X7" s="51"/>
      <c r="Z7" t="s">
        <v>196</v>
      </c>
    </row>
    <row r="8" spans="1:26" ht="45.65" customHeight="1" x14ac:dyDescent="0.55000000000000004">
      <c r="A8" s="105">
        <v>3</v>
      </c>
      <c r="B8" s="106">
        <v>2003</v>
      </c>
      <c r="C8" s="122" t="s">
        <v>66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78.849999999999994</v>
      </c>
      <c r="R8" s="111">
        <v>0</v>
      </c>
      <c r="S8" s="111">
        <v>0</v>
      </c>
      <c r="T8" s="112">
        <f t="shared" ref="T8" si="2">O8-P8-Q8-R8-S8</f>
        <v>331.15</v>
      </c>
      <c r="U8" s="51"/>
      <c r="W8" s="51"/>
      <c r="X8" s="51"/>
    </row>
    <row r="9" spans="1:26" ht="45.65" customHeight="1" x14ac:dyDescent="0.55000000000000004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4" si="3">O9-P9-Q9-R9-S9</f>
        <v>255.00000000000003</v>
      </c>
      <c r="U9" s="53"/>
      <c r="W9" s="53"/>
      <c r="X9" s="53"/>
      <c r="Z9" t="s">
        <v>196</v>
      </c>
    </row>
    <row r="10" spans="1:26" ht="45.65" customHeight="1" x14ac:dyDescent="0.55000000000000004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W10" s="53"/>
      <c r="X10" s="53"/>
      <c r="Z10" t="s">
        <v>196</v>
      </c>
    </row>
    <row r="11" spans="1:26" ht="45.65" customHeight="1" x14ac:dyDescent="0.55000000000000004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189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W11" s="53"/>
      <c r="X11" s="53"/>
      <c r="Z11" t="s">
        <v>196</v>
      </c>
    </row>
    <row r="12" spans="1:26" ht="45.65" customHeight="1" x14ac:dyDescent="0.55000000000000004">
      <c r="A12" s="105">
        <v>7</v>
      </c>
      <c r="B12" s="106">
        <v>2007</v>
      </c>
      <c r="C12" s="120" t="s">
        <v>102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1.1499999999999999</v>
      </c>
      <c r="R12" s="111">
        <v>50</v>
      </c>
      <c r="S12" s="111">
        <v>0</v>
      </c>
      <c r="T12" s="112">
        <f t="shared" si="3"/>
        <v>188.84999999999997</v>
      </c>
      <c r="U12" s="156"/>
      <c r="W12" s="53"/>
      <c r="X12" s="53"/>
      <c r="Z12" t="s">
        <v>196</v>
      </c>
    </row>
    <row r="13" spans="1:26" ht="45.65" customHeight="1" x14ac:dyDescent="0.55000000000000004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W13" s="53"/>
      <c r="X13" s="53"/>
      <c r="Z13" t="s">
        <v>196</v>
      </c>
    </row>
    <row r="14" spans="1:26" ht="45.65" customHeight="1" x14ac:dyDescent="0.55000000000000004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3"/>
        <v>160</v>
      </c>
      <c r="U14" s="53"/>
      <c r="W14" s="53"/>
      <c r="X14" s="53"/>
      <c r="Z14" t="s">
        <v>196</v>
      </c>
    </row>
    <row r="15" spans="1:26" ht="45.65" customHeight="1" x14ac:dyDescent="0.55000000000000004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W15" s="53"/>
      <c r="X15" s="53"/>
      <c r="Z15" t="s">
        <v>196</v>
      </c>
    </row>
    <row r="16" spans="1:26" ht="45.65" customHeight="1" x14ac:dyDescent="0.55000000000000004">
      <c r="A16" s="105">
        <v>11</v>
      </c>
      <c r="B16" s="106">
        <v>2011</v>
      </c>
      <c r="C16" s="120" t="s">
        <v>106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W16" s="53"/>
      <c r="X16" s="53"/>
      <c r="Z16" t="s">
        <v>196</v>
      </c>
    </row>
    <row r="17" spans="1:26" ht="45.65" customHeight="1" x14ac:dyDescent="0.55000000000000004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3"/>
        <v>400</v>
      </c>
      <c r="U17" s="53"/>
      <c r="W17" s="53"/>
      <c r="X17" s="53"/>
      <c r="Z17" t="s">
        <v>196</v>
      </c>
    </row>
    <row r="18" spans="1:26" ht="45.65" customHeight="1" x14ac:dyDescent="0.55000000000000004">
      <c r="A18" s="105">
        <v>13</v>
      </c>
      <c r="B18" s="106">
        <v>2013</v>
      </c>
      <c r="C18" s="120" t="s">
        <v>108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W18" s="53"/>
      <c r="X18" s="53"/>
      <c r="Z18" t="s">
        <v>196</v>
      </c>
    </row>
    <row r="19" spans="1:26" ht="45.65" customHeight="1" x14ac:dyDescent="0.55000000000000004">
      <c r="A19" s="105">
        <v>14</v>
      </c>
      <c r="B19" s="106">
        <v>2014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W19" s="53"/>
      <c r="X19" s="53"/>
      <c r="Z19" t="s">
        <v>196</v>
      </c>
    </row>
    <row r="20" spans="1:26" ht="45.65" customHeight="1" x14ac:dyDescent="0.55000000000000004">
      <c r="A20" s="105">
        <v>15</v>
      </c>
      <c r="B20" s="106">
        <v>2015</v>
      </c>
      <c r="C20" s="120" t="s">
        <v>110</v>
      </c>
      <c r="D20" s="121" t="s">
        <v>181</v>
      </c>
      <c r="E20" s="121" t="s">
        <v>189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3"/>
        <v>250</v>
      </c>
      <c r="U20" s="53"/>
      <c r="W20" s="119"/>
      <c r="X20" s="118"/>
      <c r="Z20" t="s">
        <v>196</v>
      </c>
    </row>
    <row r="21" spans="1:26" ht="45.65" customHeight="1" x14ac:dyDescent="0.55000000000000004">
      <c r="A21" s="105">
        <v>16</v>
      </c>
      <c r="B21" s="106">
        <v>2016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W21" s="53"/>
      <c r="X21" s="53"/>
      <c r="Z21" t="s">
        <v>196</v>
      </c>
    </row>
    <row r="22" spans="1:26" ht="45.65" customHeight="1" x14ac:dyDescent="0.55000000000000004">
      <c r="A22" s="105">
        <v>17</v>
      </c>
      <c r="B22" s="106">
        <v>2017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3.71</v>
      </c>
      <c r="R22" s="111">
        <v>50</v>
      </c>
      <c r="S22" s="111">
        <v>0</v>
      </c>
      <c r="T22" s="112">
        <f t="shared" si="3"/>
        <v>396.29</v>
      </c>
      <c r="U22" s="53"/>
      <c r="W22" s="53"/>
      <c r="X22" s="53"/>
      <c r="Z22" t="s">
        <v>196</v>
      </c>
    </row>
    <row r="23" spans="1:26" ht="45.65" customHeight="1" x14ac:dyDescent="0.55000000000000004">
      <c r="A23" s="105">
        <v>18</v>
      </c>
      <c r="B23" s="106">
        <v>2018</v>
      </c>
      <c r="C23" s="120" t="s">
        <v>113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4.6100000000000003</v>
      </c>
      <c r="R23" s="111">
        <v>0</v>
      </c>
      <c r="S23" s="111">
        <v>0</v>
      </c>
      <c r="T23" s="112">
        <f t="shared" si="3"/>
        <v>295.39</v>
      </c>
      <c r="U23" s="53"/>
      <c r="W23" s="53"/>
      <c r="X23" s="53"/>
      <c r="Z23" t="s">
        <v>196</v>
      </c>
    </row>
    <row r="24" spans="1:26" ht="45.65" customHeight="1" x14ac:dyDescent="0.55000000000000004">
      <c r="A24" s="105">
        <v>19</v>
      </c>
      <c r="B24" s="106">
        <v>2019</v>
      </c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50</v>
      </c>
      <c r="U24" s="53"/>
      <c r="W24" s="53"/>
      <c r="X24" s="53"/>
      <c r="Z24" t="s">
        <v>196</v>
      </c>
    </row>
    <row r="25" spans="1:26" ht="45.65" customHeight="1" x14ac:dyDescent="0.55000000000000004">
      <c r="A25" s="105">
        <v>20</v>
      </c>
      <c r="B25" s="106">
        <v>2020</v>
      </c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5.77</v>
      </c>
      <c r="R25" s="111">
        <v>0</v>
      </c>
      <c r="S25" s="111">
        <v>0</v>
      </c>
      <c r="T25" s="112">
        <f t="shared" si="3"/>
        <v>144.22999999999999</v>
      </c>
      <c r="U25" s="53"/>
      <c r="W25" s="53"/>
      <c r="X25" s="53"/>
      <c r="Z25" t="s">
        <v>196</v>
      </c>
    </row>
    <row r="26" spans="1:26" ht="45.65" customHeight="1" x14ac:dyDescent="0.55000000000000004">
      <c r="A26" s="105">
        <v>21</v>
      </c>
      <c r="B26" s="106">
        <v>2021</v>
      </c>
      <c r="C26" s="120" t="s">
        <v>116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150</v>
      </c>
      <c r="U26" s="53"/>
      <c r="W26" s="53"/>
      <c r="X26" s="53"/>
      <c r="Z26" t="s">
        <v>196</v>
      </c>
    </row>
    <row r="27" spans="1:26" ht="45.65" customHeight="1" x14ac:dyDescent="0.55000000000000004">
      <c r="A27" s="105">
        <v>22</v>
      </c>
      <c r="B27" s="106">
        <v>2022</v>
      </c>
      <c r="C27" s="120" t="s">
        <v>117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150</v>
      </c>
      <c r="U27" s="53"/>
      <c r="W27" s="53"/>
      <c r="X27" s="53"/>
      <c r="Z27" t="s">
        <v>196</v>
      </c>
    </row>
    <row r="28" spans="1:26" ht="45.65" customHeight="1" x14ac:dyDescent="0.55000000000000004">
      <c r="A28" s="105">
        <v>23</v>
      </c>
      <c r="B28" s="106">
        <v>2023</v>
      </c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100</v>
      </c>
      <c r="U28" s="53"/>
      <c r="W28" s="53"/>
      <c r="X28" s="53"/>
      <c r="Z28" t="s">
        <v>196</v>
      </c>
    </row>
    <row r="29" spans="1:26" ht="45.65" customHeight="1" x14ac:dyDescent="0.55000000000000004">
      <c r="A29" s="105">
        <v>24</v>
      </c>
      <c r="B29" s="106">
        <v>2024</v>
      </c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80</v>
      </c>
      <c r="U29" s="53"/>
      <c r="W29" s="53"/>
      <c r="X29" s="53"/>
      <c r="Z29" t="s">
        <v>196</v>
      </c>
    </row>
    <row r="30" spans="1:26" ht="45.65" customHeight="1" x14ac:dyDescent="0.55000000000000004">
      <c r="A30" s="105">
        <v>25</v>
      </c>
      <c r="B30" s="106">
        <v>2025</v>
      </c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150</v>
      </c>
      <c r="U30" s="53"/>
      <c r="W30" s="53"/>
      <c r="X30" s="53"/>
      <c r="Z30" t="s">
        <v>196</v>
      </c>
    </row>
    <row r="31" spans="1:26" ht="45.65" customHeight="1" x14ac:dyDescent="0.55000000000000004">
      <c r="A31" s="105">
        <v>26</v>
      </c>
      <c r="B31" s="106">
        <v>2026</v>
      </c>
      <c r="C31" s="120" t="s">
        <v>121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W31" s="53"/>
      <c r="X31" s="53"/>
      <c r="Z31" t="s">
        <v>196</v>
      </c>
    </row>
    <row r="32" spans="1:26" ht="45.65" customHeight="1" x14ac:dyDescent="0.55000000000000004">
      <c r="A32" s="105">
        <v>27</v>
      </c>
      <c r="B32" s="106">
        <v>2027</v>
      </c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200</v>
      </c>
      <c r="U32" s="53"/>
      <c r="W32" s="53"/>
      <c r="X32" s="53"/>
      <c r="Z32" t="s">
        <v>196</v>
      </c>
    </row>
    <row r="33" spans="1:26" ht="45.65" customHeight="1" x14ac:dyDescent="0.55000000000000004">
      <c r="A33" s="105">
        <v>28</v>
      </c>
      <c r="B33" s="106">
        <v>2028</v>
      </c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250</v>
      </c>
      <c r="U33" s="53"/>
      <c r="W33" s="53"/>
      <c r="X33" s="118"/>
      <c r="Z33" t="s">
        <v>196</v>
      </c>
    </row>
    <row r="34" spans="1:26" ht="45.65" customHeight="1" x14ac:dyDescent="0.55000000000000004">
      <c r="A34" s="105">
        <v>29</v>
      </c>
      <c r="B34" s="106">
        <v>2029</v>
      </c>
      <c r="C34" s="120" t="s">
        <v>124</v>
      </c>
      <c r="D34" s="121" t="s">
        <v>177</v>
      </c>
      <c r="E34" s="121" t="s">
        <v>185</v>
      </c>
      <c r="F34" s="120" t="s">
        <v>159</v>
      </c>
      <c r="G34" s="106">
        <v>270</v>
      </c>
      <c r="H34" s="110">
        <v>26</v>
      </c>
      <c r="I34" s="110">
        <v>0</v>
      </c>
      <c r="J34" s="111">
        <f t="shared" si="0"/>
        <v>270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270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3"/>
        <v>270</v>
      </c>
      <c r="U34" s="53"/>
      <c r="W34" s="53"/>
      <c r="X34" s="53"/>
      <c r="Z34" t="s">
        <v>196</v>
      </c>
    </row>
    <row r="35" spans="1:26" ht="45.65" customHeight="1" x14ac:dyDescent="0.55000000000000004">
      <c r="A35" s="105">
        <v>30</v>
      </c>
      <c r="B35" s="106">
        <v>2030</v>
      </c>
      <c r="C35" s="120" t="s">
        <v>125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3"/>
        <v>270</v>
      </c>
      <c r="U35" s="53"/>
      <c r="W35" s="53"/>
      <c r="X35" s="53"/>
      <c r="Z35" t="s">
        <v>196</v>
      </c>
    </row>
    <row r="36" spans="1:26" ht="45.65" customHeight="1" x14ac:dyDescent="0.55000000000000004">
      <c r="A36" s="105">
        <v>31</v>
      </c>
      <c r="B36" s="106">
        <v>2031</v>
      </c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280</v>
      </c>
      <c r="U36" s="53"/>
      <c r="W36" s="53"/>
      <c r="X36" s="53"/>
      <c r="Z36" t="s">
        <v>196</v>
      </c>
    </row>
    <row r="37" spans="1:26" ht="45.65" customHeight="1" x14ac:dyDescent="0.55000000000000004">
      <c r="A37" s="105">
        <v>32</v>
      </c>
      <c r="B37" s="106">
        <v>2032</v>
      </c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200</v>
      </c>
      <c r="U37" s="53"/>
      <c r="W37" s="53"/>
      <c r="X37" s="53"/>
      <c r="Z37" t="s">
        <v>196</v>
      </c>
    </row>
    <row r="38" spans="1:26" ht="45.65" customHeight="1" x14ac:dyDescent="0.55000000000000004">
      <c r="A38" s="105">
        <v>33</v>
      </c>
      <c r="B38" s="106">
        <v>2033</v>
      </c>
      <c r="C38" s="120" t="s">
        <v>128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3"/>
        <v>400</v>
      </c>
      <c r="U38" s="53" t="s">
        <v>176</v>
      </c>
      <c r="W38" s="53">
        <v>600</v>
      </c>
      <c r="X38" s="118">
        <v>-200</v>
      </c>
      <c r="Z38" t="s">
        <v>196</v>
      </c>
    </row>
    <row r="39" spans="1:26" ht="45.65" customHeight="1" x14ac:dyDescent="0.55000000000000004">
      <c r="A39" s="105">
        <v>34</v>
      </c>
      <c r="B39" s="106">
        <v>2034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3"/>
        <v>450</v>
      </c>
      <c r="U39" s="53"/>
      <c r="W39" s="53"/>
      <c r="X39" s="53"/>
      <c r="Z39" t="s">
        <v>196</v>
      </c>
    </row>
    <row r="40" spans="1:26" ht="45.65" customHeight="1" x14ac:dyDescent="0.55000000000000004">
      <c r="A40" s="105">
        <v>35</v>
      </c>
      <c r="B40" s="106">
        <v>2035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3"/>
        <v>550</v>
      </c>
      <c r="U40" s="53"/>
      <c r="W40" s="53"/>
      <c r="X40" s="53"/>
      <c r="Z40" t="s">
        <v>196</v>
      </c>
    </row>
    <row r="41" spans="1:26" ht="45.65" customHeight="1" x14ac:dyDescent="0.55000000000000004">
      <c r="A41" s="105">
        <v>36</v>
      </c>
      <c r="B41" s="106">
        <v>2036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3"/>
        <v>450</v>
      </c>
      <c r="U41" s="53"/>
      <c r="W41" s="53"/>
      <c r="X41" s="53"/>
      <c r="Z41" t="s">
        <v>196</v>
      </c>
    </row>
    <row r="42" spans="1:26" ht="45.65" customHeight="1" x14ac:dyDescent="0.55000000000000004">
      <c r="A42" s="105">
        <v>37</v>
      </c>
      <c r="B42" s="106">
        <v>2037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3"/>
        <v>450</v>
      </c>
      <c r="U42" s="53"/>
      <c r="W42" s="53"/>
      <c r="X42" s="53"/>
      <c r="Z42" t="s">
        <v>196</v>
      </c>
    </row>
    <row r="43" spans="1:26" ht="45.65" customHeight="1" x14ac:dyDescent="0.55000000000000004">
      <c r="A43" s="105">
        <v>38</v>
      </c>
      <c r="B43" s="106">
        <v>2038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260</v>
      </c>
      <c r="U43" s="53"/>
      <c r="W43" s="53"/>
      <c r="X43" s="53"/>
      <c r="Z43" t="s">
        <v>196</v>
      </c>
    </row>
    <row r="44" spans="1:26" ht="45.65" customHeight="1" x14ac:dyDescent="0.55000000000000004">
      <c r="A44" s="105">
        <v>39</v>
      </c>
      <c r="B44" s="106">
        <v>2039</v>
      </c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3"/>
        <v>119.99999999999999</v>
      </c>
      <c r="U44" s="53"/>
      <c r="W44" s="53"/>
      <c r="X44" s="53"/>
      <c r="Z44" t="s">
        <v>196</v>
      </c>
    </row>
    <row r="45" spans="1:26" ht="45.65" customHeight="1" x14ac:dyDescent="0.55000000000000004">
      <c r="A45" s="105">
        <v>40</v>
      </c>
      <c r="B45" s="106">
        <v>2040</v>
      </c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240</v>
      </c>
      <c r="H45" s="110">
        <v>26</v>
      </c>
      <c r="I45" s="110">
        <v>0</v>
      </c>
      <c r="J45" s="111">
        <f t="shared" si="0"/>
        <v>239.99999999999997</v>
      </c>
      <c r="K45" s="111">
        <v>0</v>
      </c>
      <c r="L45" s="155">
        <v>83.08</v>
      </c>
      <c r="M45" s="111">
        <v>0</v>
      </c>
      <c r="N45" s="111">
        <v>0</v>
      </c>
      <c r="O45" s="111">
        <f t="shared" si="1"/>
        <v>323.08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3"/>
        <v>323.08</v>
      </c>
      <c r="U45" s="53"/>
      <c r="W45" s="53"/>
      <c r="X45" s="53"/>
    </row>
    <row r="46" spans="1:26" ht="45.65" customHeight="1" x14ac:dyDescent="0.55000000000000004">
      <c r="A46" s="105">
        <v>41</v>
      </c>
      <c r="B46" s="106">
        <v>2041</v>
      </c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70.77</v>
      </c>
      <c r="M46" s="111">
        <v>0</v>
      </c>
      <c r="N46" s="111">
        <v>0</v>
      </c>
      <c r="O46" s="111">
        <f t="shared" si="1"/>
        <v>150.76999999999998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150.76999999999998</v>
      </c>
      <c r="U46" s="53"/>
      <c r="W46" s="53"/>
      <c r="X46" s="53"/>
    </row>
    <row r="47" spans="1:26" ht="45.65" customHeight="1" x14ac:dyDescent="0.55000000000000004">
      <c r="A47" s="105">
        <v>42</v>
      </c>
      <c r="B47" s="106">
        <v>2042</v>
      </c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239.99999999999997</v>
      </c>
      <c r="P47" s="111">
        <v>0</v>
      </c>
      <c r="Q47" s="111">
        <v>46.15</v>
      </c>
      <c r="R47" s="111">
        <v>0</v>
      </c>
      <c r="S47" s="111">
        <v>0</v>
      </c>
      <c r="T47" s="112">
        <f t="shared" si="3"/>
        <v>193.84999999999997</v>
      </c>
      <c r="U47" s="53"/>
      <c r="W47" s="53"/>
      <c r="X47" s="53"/>
    </row>
    <row r="48" spans="1:26" ht="45.65" customHeight="1" x14ac:dyDescent="0.55000000000000004">
      <c r="A48" s="105">
        <v>50</v>
      </c>
      <c r="B48" s="106">
        <v>2050</v>
      </c>
      <c r="C48" s="154" t="s">
        <v>173</v>
      </c>
      <c r="D48" s="108" t="s">
        <v>177</v>
      </c>
      <c r="E48" s="108" t="s">
        <v>185</v>
      </c>
      <c r="F48" s="107"/>
      <c r="G48" s="141">
        <v>600</v>
      </c>
      <c r="H48" s="110">
        <v>26</v>
      </c>
      <c r="I48" s="110">
        <v>0</v>
      </c>
      <c r="J48" s="111">
        <f t="shared" si="0"/>
        <v>600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600</v>
      </c>
      <c r="P48" s="111">
        <v>0</v>
      </c>
      <c r="Q48" s="153">
        <v>0</v>
      </c>
      <c r="R48" s="111">
        <v>0</v>
      </c>
      <c r="S48" s="151">
        <v>176.3</v>
      </c>
      <c r="T48" s="112">
        <f t="shared" si="3"/>
        <v>423.7</v>
      </c>
      <c r="U48" s="53" t="s">
        <v>176</v>
      </c>
      <c r="W48" s="53">
        <v>600</v>
      </c>
      <c r="X48" s="118">
        <v>-176.3</v>
      </c>
      <c r="Z48" t="s">
        <v>196</v>
      </c>
    </row>
    <row r="49" spans="1:26" ht="45.65" customHeight="1" x14ac:dyDescent="0.55000000000000004">
      <c r="A49" s="105">
        <v>51</v>
      </c>
      <c r="B49" s="106">
        <v>2051</v>
      </c>
      <c r="C49" s="154" t="s">
        <v>174</v>
      </c>
      <c r="D49" s="108" t="s">
        <v>177</v>
      </c>
      <c r="E49" s="108" t="s">
        <v>185</v>
      </c>
      <c r="F49" s="107"/>
      <c r="G49" s="141">
        <v>413.2</v>
      </c>
      <c r="H49" s="110">
        <v>26</v>
      </c>
      <c r="I49" s="110">
        <v>0</v>
      </c>
      <c r="J49" s="111">
        <f t="shared" si="0"/>
        <v>413.2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413.2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413.2</v>
      </c>
      <c r="U49" s="53"/>
      <c r="W49" s="53"/>
      <c r="X49" s="118"/>
      <c r="Z49" t="s">
        <v>196</v>
      </c>
    </row>
    <row r="50" spans="1:26" ht="45.65" customHeight="1" x14ac:dyDescent="0.55000000000000004">
      <c r="A50" s="105">
        <v>52</v>
      </c>
      <c r="B50" s="106">
        <v>2052</v>
      </c>
      <c r="C50" s="154" t="s">
        <v>175</v>
      </c>
      <c r="D50" s="108"/>
      <c r="E50" s="108" t="s">
        <v>192</v>
      </c>
      <c r="F50" s="107"/>
      <c r="G50" s="109">
        <v>300</v>
      </c>
      <c r="H50" s="110">
        <v>26</v>
      </c>
      <c r="I50" s="110">
        <v>0</v>
      </c>
      <c r="J50" s="111">
        <f t="shared" si="0"/>
        <v>300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300</v>
      </c>
      <c r="P50" s="111">
        <v>0</v>
      </c>
      <c r="Q50" s="153">
        <v>0</v>
      </c>
      <c r="R50" s="111">
        <v>0</v>
      </c>
      <c r="S50" s="151">
        <v>300</v>
      </c>
      <c r="T50" s="112">
        <f t="shared" si="3"/>
        <v>0</v>
      </c>
      <c r="U50" s="53" t="s">
        <v>176</v>
      </c>
      <c r="W50" s="53">
        <v>300</v>
      </c>
      <c r="X50" s="118">
        <v>-300</v>
      </c>
      <c r="Z50" t="s">
        <v>196</v>
      </c>
    </row>
    <row r="51" spans="1:26" ht="45.65" customHeight="1" x14ac:dyDescent="0.55000000000000004">
      <c r="A51" s="105">
        <v>53</v>
      </c>
      <c r="B51" s="106">
        <v>2053</v>
      </c>
      <c r="C51" s="154" t="s">
        <v>145</v>
      </c>
      <c r="D51" s="108"/>
      <c r="E51" s="108" t="s">
        <v>192</v>
      </c>
      <c r="F51" s="107"/>
      <c r="G51" s="109">
        <v>600</v>
      </c>
      <c r="H51" s="110">
        <v>26</v>
      </c>
      <c r="I51" s="110">
        <v>0</v>
      </c>
      <c r="J51" s="111">
        <f t="shared" si="0"/>
        <v>600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600</v>
      </c>
      <c r="P51" s="111">
        <v>0</v>
      </c>
      <c r="Q51" s="153">
        <v>0</v>
      </c>
      <c r="R51" s="111">
        <v>0</v>
      </c>
      <c r="S51" s="151">
        <v>600</v>
      </c>
      <c r="T51" s="112">
        <f t="shared" si="3"/>
        <v>0</v>
      </c>
      <c r="U51" s="52" t="s">
        <v>176</v>
      </c>
      <c r="W51" s="53">
        <v>600</v>
      </c>
      <c r="X51" s="118">
        <v>-600</v>
      </c>
      <c r="Z51" t="s">
        <v>196</v>
      </c>
    </row>
    <row r="52" spans="1:26" ht="45.65" customHeight="1" x14ac:dyDescent="0.55000000000000004">
      <c r="A52" s="105">
        <v>54</v>
      </c>
      <c r="B52" s="106">
        <v>2054</v>
      </c>
      <c r="C52" s="107"/>
      <c r="D52" s="108"/>
      <c r="E52" s="108"/>
      <c r="F52" s="107"/>
      <c r="G52" s="109"/>
      <c r="H52" s="110">
        <v>26</v>
      </c>
      <c r="I52" s="110">
        <v>0</v>
      </c>
      <c r="J52" s="111">
        <f t="shared" si="0"/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0</v>
      </c>
      <c r="U52" s="51"/>
      <c r="W52" s="53"/>
      <c r="X52" s="118"/>
    </row>
    <row r="53" spans="1:26" ht="45.65" customHeight="1" x14ac:dyDescent="0.55000000000000004">
      <c r="A53" s="105">
        <v>55</v>
      </c>
      <c r="B53" s="106">
        <v>2055</v>
      </c>
      <c r="C53" s="107"/>
      <c r="D53" s="108"/>
      <c r="E53" s="108"/>
      <c r="F53" s="107"/>
      <c r="G53" s="109"/>
      <c r="H53" s="110">
        <v>26</v>
      </c>
      <c r="I53" s="110">
        <v>0</v>
      </c>
      <c r="J53" s="111">
        <f t="shared" si="0"/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0</v>
      </c>
      <c r="U53" s="51"/>
      <c r="W53" s="53"/>
      <c r="X53" s="118"/>
    </row>
    <row r="54" spans="1:26" ht="45.65" customHeight="1" thickBot="1" x14ac:dyDescent="0.6">
      <c r="A54" s="142">
        <v>56</v>
      </c>
      <c r="B54" s="143">
        <v>2056</v>
      </c>
      <c r="C54" s="144"/>
      <c r="D54" s="145"/>
      <c r="E54" s="145"/>
      <c r="F54" s="144"/>
      <c r="G54" s="146"/>
      <c r="H54" s="147">
        <v>26</v>
      </c>
      <c r="I54" s="147">
        <v>0</v>
      </c>
      <c r="J54" s="148">
        <f t="shared" si="0"/>
        <v>0</v>
      </c>
      <c r="K54" s="148">
        <v>0</v>
      </c>
      <c r="L54" s="148">
        <v>0</v>
      </c>
      <c r="M54" s="148">
        <v>0</v>
      </c>
      <c r="N54" s="148">
        <v>0</v>
      </c>
      <c r="O54" s="148">
        <f t="shared" si="1"/>
        <v>0</v>
      </c>
      <c r="P54" s="148">
        <v>0</v>
      </c>
      <c r="Q54" s="148">
        <v>0</v>
      </c>
      <c r="R54" s="148">
        <v>0</v>
      </c>
      <c r="S54" s="148">
        <v>0</v>
      </c>
      <c r="T54" s="149">
        <f t="shared" si="3"/>
        <v>0</v>
      </c>
      <c r="U54" s="54"/>
      <c r="W54" s="53"/>
      <c r="X54" s="118"/>
    </row>
    <row r="55" spans="1:26" ht="50.15" customHeight="1" thickBot="1" x14ac:dyDescent="0.45">
      <c r="A55" s="256" t="s">
        <v>0</v>
      </c>
      <c r="B55" s="257"/>
      <c r="C55" s="257"/>
      <c r="D55" s="257"/>
      <c r="E55" s="257"/>
      <c r="F55" s="257"/>
      <c r="G55" s="257"/>
      <c r="H55" s="257"/>
      <c r="I55" s="258"/>
      <c r="J55" s="116">
        <f t="shared" ref="J55:T55" si="4">SUBTOTAL(9,J6:J54)</f>
        <v>13708.2</v>
      </c>
      <c r="K55" s="116">
        <f t="shared" si="4"/>
        <v>0</v>
      </c>
      <c r="L55" s="116">
        <f t="shared" si="4"/>
        <v>153.85</v>
      </c>
      <c r="M55" s="116">
        <f t="shared" si="4"/>
        <v>0</v>
      </c>
      <c r="N55" s="116">
        <f t="shared" si="4"/>
        <v>300</v>
      </c>
      <c r="O55" s="116">
        <f t="shared" si="4"/>
        <v>14162.050000000001</v>
      </c>
      <c r="P55" s="116">
        <f t="shared" si="4"/>
        <v>0</v>
      </c>
      <c r="Q55" s="116">
        <f t="shared" si="4"/>
        <v>169.08999999999997</v>
      </c>
      <c r="R55" s="116">
        <f t="shared" si="4"/>
        <v>150</v>
      </c>
      <c r="S55" s="152">
        <f t="shared" si="4"/>
        <v>1276.3</v>
      </c>
      <c r="T55" s="124">
        <f t="shared" si="4"/>
        <v>12566.660000000002</v>
      </c>
      <c r="U55" s="116"/>
      <c r="W55" s="116">
        <f>SUBTOTAL(9,W6:W54)</f>
        <v>2100</v>
      </c>
      <c r="X55" s="116">
        <f>SUBTOTAL(9,X6:X54)</f>
        <v>-1276.3</v>
      </c>
    </row>
    <row r="57" spans="1:26" x14ac:dyDescent="0.4">
      <c r="O57" s="123"/>
    </row>
    <row r="58" spans="1:26" ht="21.65" customHeight="1" x14ac:dyDescent="0.4">
      <c r="O58" s="123">
        <f>O55-Q55</f>
        <v>13992.960000000001</v>
      </c>
    </row>
    <row r="59" spans="1:26" x14ac:dyDescent="0.4">
      <c r="O59" s="123"/>
    </row>
    <row r="61" spans="1:26" x14ac:dyDescent="0.4">
      <c r="O61" s="123"/>
    </row>
    <row r="62" spans="1:26" x14ac:dyDescent="0.4">
      <c r="T62" t="s">
        <v>195</v>
      </c>
    </row>
  </sheetData>
  <autoFilter ref="A5:X54" xr:uid="{00000000-0001-0000-0300-000000000000}"/>
  <mergeCells count="18">
    <mergeCell ref="A55:I55"/>
    <mergeCell ref="I4:I5"/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</mergeCells>
  <conditionalFormatting sqref="C8">
    <cfRule type="duplicateValues" dxfId="18" priority="2"/>
  </conditionalFormatting>
  <conditionalFormatting sqref="C44">
    <cfRule type="duplicateValues" dxfId="17" priority="3"/>
  </conditionalFormatting>
  <conditionalFormatting sqref="C45:C47">
    <cfRule type="duplicateValues" dxfId="16" priority="1"/>
  </conditionalFormatting>
  <conditionalFormatting sqref="C48:C54 C6:C7 C9:C43">
    <cfRule type="duplicateValues" dxfId="15" priority="4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9CDA-6FF6-44DD-8518-D44A85BBA06C}">
  <sheetPr>
    <pageSetUpPr fitToPage="1"/>
  </sheetPr>
  <dimension ref="A1:X66"/>
  <sheetViews>
    <sheetView zoomScale="60" zoomScaleNormal="60" workbookViewId="0">
      <pane ySplit="5" topLeftCell="A24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4.15234375" customWidth="1"/>
    <col min="23" max="23" width="18.3046875" customWidth="1"/>
    <col min="24" max="24" width="17" customWidth="1"/>
  </cols>
  <sheetData>
    <row r="1" spans="1:24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4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4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4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</row>
    <row r="5" spans="1:24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W5" s="226"/>
      <c r="X5" s="226"/>
    </row>
    <row r="6" spans="1:24" ht="45.65" customHeight="1" x14ac:dyDescent="0.55000000000000004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59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W6" s="51"/>
      <c r="X6" s="51"/>
    </row>
    <row r="7" spans="1:24" ht="45.65" customHeight="1" x14ac:dyDescent="0.55000000000000004">
      <c r="A7" s="105">
        <v>2</v>
      </c>
      <c r="B7" s="106">
        <v>2002</v>
      </c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59" si="1">J7+K7+L7+M7+N7</f>
        <v>150</v>
      </c>
      <c r="P7" s="111">
        <v>0</v>
      </c>
      <c r="Q7" s="111">
        <v>5.7692307692307692</v>
      </c>
      <c r="R7" s="111">
        <v>0</v>
      </c>
      <c r="S7" s="111">
        <v>0</v>
      </c>
      <c r="T7" s="112">
        <f>O7-P7-Q7-R7-S7</f>
        <v>144.23076923076923</v>
      </c>
      <c r="U7" s="51"/>
      <c r="W7" s="51"/>
      <c r="X7" s="51"/>
    </row>
    <row r="8" spans="1:24" ht="45.65" customHeight="1" x14ac:dyDescent="0.55000000000000004">
      <c r="A8" s="105">
        <v>3</v>
      </c>
      <c r="B8" s="106">
        <v>2003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59" si="2">O8-P8-Q8-R8-S8</f>
        <v>410</v>
      </c>
      <c r="U8" s="52"/>
      <c r="W8" s="52"/>
      <c r="X8" s="52"/>
    </row>
    <row r="9" spans="1:24" ht="45.65" customHeight="1" x14ac:dyDescent="0.55000000000000004">
      <c r="A9" s="105">
        <v>4</v>
      </c>
      <c r="B9" s="106">
        <v>2004</v>
      </c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W9" s="53"/>
      <c r="X9" s="53"/>
    </row>
    <row r="10" spans="1:24" ht="45.65" customHeight="1" x14ac:dyDescent="0.55000000000000004">
      <c r="A10" s="105">
        <v>5</v>
      </c>
      <c r="B10" s="106">
        <v>2005</v>
      </c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W10" s="53"/>
      <c r="X10" s="53"/>
    </row>
    <row r="11" spans="1:24" ht="45.65" customHeight="1" x14ac:dyDescent="0.55000000000000004">
      <c r="A11" s="105">
        <v>6</v>
      </c>
      <c r="B11" s="106">
        <v>2006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2"/>
        <v>430.00000000000006</v>
      </c>
      <c r="U11" s="53"/>
      <c r="W11" s="53"/>
      <c r="X11" s="53"/>
    </row>
    <row r="12" spans="1:24" ht="45.65" customHeight="1" x14ac:dyDescent="0.55000000000000004">
      <c r="A12" s="105">
        <v>7</v>
      </c>
      <c r="B12" s="106">
        <v>2007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  <c r="W12" s="53"/>
      <c r="X12" s="53"/>
    </row>
    <row r="13" spans="1:24" ht="45.65" customHeight="1" x14ac:dyDescent="0.55000000000000004">
      <c r="A13" s="105">
        <v>8</v>
      </c>
      <c r="B13" s="106">
        <v>2008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50</v>
      </c>
      <c r="M13" s="111">
        <v>0</v>
      </c>
      <c r="N13" s="111">
        <v>0</v>
      </c>
      <c r="O13" s="111">
        <f t="shared" si="1"/>
        <v>380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380</v>
      </c>
      <c r="U13" s="53"/>
      <c r="W13" s="53"/>
      <c r="X13" s="53"/>
    </row>
    <row r="14" spans="1:24" ht="45.65" customHeight="1" x14ac:dyDescent="0.55000000000000004">
      <c r="A14" s="105">
        <v>9</v>
      </c>
      <c r="B14" s="106">
        <v>2009</v>
      </c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160</v>
      </c>
      <c r="H14" s="110">
        <v>26</v>
      </c>
      <c r="I14" s="110">
        <v>0</v>
      </c>
      <c r="J14" s="111">
        <f t="shared" si="0"/>
        <v>160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160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160</v>
      </c>
      <c r="U14" s="53"/>
      <c r="W14" s="53"/>
      <c r="X14" s="53"/>
    </row>
    <row r="15" spans="1:24" ht="45.65" customHeight="1" x14ac:dyDescent="0.55000000000000004">
      <c r="A15" s="105">
        <v>10</v>
      </c>
      <c r="B15" s="106">
        <v>2010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W15" s="53"/>
      <c r="X15" s="53"/>
    </row>
    <row r="16" spans="1:24" ht="45.65" customHeight="1" x14ac:dyDescent="0.55000000000000004">
      <c r="A16" s="105">
        <v>11</v>
      </c>
      <c r="B16" s="106">
        <v>2011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W16" s="53"/>
      <c r="X16" s="53"/>
    </row>
    <row r="17" spans="1:24" ht="45.65" customHeight="1" x14ac:dyDescent="0.55000000000000004">
      <c r="A17" s="105">
        <v>12</v>
      </c>
      <c r="B17" s="106">
        <v>2012</v>
      </c>
      <c r="C17" s="120" t="s">
        <v>107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2"/>
        <v>400</v>
      </c>
      <c r="U17" s="53"/>
      <c r="W17" s="53"/>
      <c r="X17" s="53"/>
    </row>
    <row r="18" spans="1:24" ht="45.65" customHeight="1" x14ac:dyDescent="0.55000000000000004">
      <c r="A18" s="105">
        <v>13</v>
      </c>
      <c r="B18" s="106">
        <v>2013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W18" s="53"/>
      <c r="X18" s="53"/>
    </row>
    <row r="19" spans="1:24" ht="45.65" customHeight="1" x14ac:dyDescent="0.55000000000000004">
      <c r="A19" s="105">
        <v>14</v>
      </c>
      <c r="B19" s="106">
        <v>2014</v>
      </c>
      <c r="C19" s="120" t="s">
        <v>203</v>
      </c>
      <c r="D19" s="121" t="s">
        <v>181</v>
      </c>
      <c r="E19" s="121" t="s">
        <v>185</v>
      </c>
      <c r="F19" s="120" t="s">
        <v>154</v>
      </c>
      <c r="G19" s="106">
        <v>350</v>
      </c>
      <c r="H19" s="110">
        <v>26</v>
      </c>
      <c r="I19" s="110">
        <v>0</v>
      </c>
      <c r="J19" s="111">
        <f t="shared" si="0"/>
        <v>350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350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350</v>
      </c>
      <c r="U19" s="53"/>
      <c r="W19" s="53"/>
      <c r="X19" s="53"/>
    </row>
    <row r="20" spans="1:24" ht="45.65" customHeight="1" x14ac:dyDescent="0.55000000000000004">
      <c r="A20" s="105">
        <v>15</v>
      </c>
      <c r="B20" s="106">
        <v>2015</v>
      </c>
      <c r="C20" s="120" t="s">
        <v>204</v>
      </c>
      <c r="D20" s="121" t="s">
        <v>181</v>
      </c>
      <c r="E20" s="121" t="s">
        <v>187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2"/>
        <v>250</v>
      </c>
      <c r="U20" s="53"/>
      <c r="W20" s="119"/>
      <c r="X20" s="118"/>
    </row>
    <row r="21" spans="1:24" ht="45.65" customHeight="1" x14ac:dyDescent="0.55000000000000004">
      <c r="A21" s="105">
        <v>16</v>
      </c>
      <c r="B21" s="106">
        <v>2016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100</v>
      </c>
      <c r="U21" s="53"/>
      <c r="W21" s="53"/>
      <c r="X21" s="53"/>
    </row>
    <row r="22" spans="1:24" ht="45.65" customHeight="1" x14ac:dyDescent="0.55000000000000004">
      <c r="A22" s="105">
        <v>17</v>
      </c>
      <c r="B22" s="106">
        <v>2017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2"/>
        <v>400</v>
      </c>
      <c r="U22" s="53"/>
      <c r="W22" s="53"/>
      <c r="X22" s="53"/>
    </row>
    <row r="23" spans="1:24" ht="45.65" customHeight="1" x14ac:dyDescent="0.55000000000000004">
      <c r="A23" s="105">
        <v>18</v>
      </c>
      <c r="B23" s="106">
        <v>2018</v>
      </c>
      <c r="C23" s="120" t="s">
        <v>113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3.46</v>
      </c>
      <c r="R23" s="111">
        <v>0</v>
      </c>
      <c r="S23" s="111">
        <v>0</v>
      </c>
      <c r="T23" s="112">
        <f t="shared" si="2"/>
        <v>296.54000000000002</v>
      </c>
      <c r="U23" s="53"/>
      <c r="W23" s="53"/>
      <c r="X23" s="53"/>
    </row>
    <row r="24" spans="1:24" ht="45.65" customHeight="1" x14ac:dyDescent="0.55000000000000004">
      <c r="A24" s="105">
        <v>19</v>
      </c>
      <c r="B24" s="106">
        <v>2019</v>
      </c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50</v>
      </c>
      <c r="U24" s="53"/>
      <c r="W24" s="53"/>
      <c r="X24" s="53"/>
    </row>
    <row r="25" spans="1:24" ht="45.65" customHeight="1" x14ac:dyDescent="0.55000000000000004">
      <c r="A25" s="105">
        <v>20</v>
      </c>
      <c r="B25" s="106">
        <v>2020</v>
      </c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11.54</v>
      </c>
      <c r="R25" s="111">
        <v>0</v>
      </c>
      <c r="S25" s="111">
        <v>0</v>
      </c>
      <c r="T25" s="112">
        <f t="shared" si="2"/>
        <v>138.46</v>
      </c>
      <c r="U25" s="53"/>
      <c r="W25" s="53"/>
      <c r="X25" s="53"/>
    </row>
    <row r="26" spans="1:24" ht="45.65" customHeight="1" x14ac:dyDescent="0.55000000000000004">
      <c r="A26" s="105">
        <v>21</v>
      </c>
      <c r="B26" s="106">
        <v>2021</v>
      </c>
      <c r="C26" s="120" t="s">
        <v>116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W26" s="53"/>
      <c r="X26" s="53"/>
    </row>
    <row r="27" spans="1:24" ht="45.65" customHeight="1" x14ac:dyDescent="0.55000000000000004">
      <c r="A27" s="105">
        <v>22</v>
      </c>
      <c r="B27" s="106">
        <v>2022</v>
      </c>
      <c r="C27" s="120" t="s">
        <v>117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W27" s="53"/>
      <c r="X27" s="53"/>
    </row>
    <row r="28" spans="1:24" ht="45.65" customHeight="1" x14ac:dyDescent="0.55000000000000004">
      <c r="A28" s="105">
        <v>23</v>
      </c>
      <c r="B28" s="106">
        <v>2023</v>
      </c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100</v>
      </c>
      <c r="U28" s="53"/>
      <c r="W28" s="53"/>
      <c r="X28" s="53"/>
    </row>
    <row r="29" spans="1:24" ht="45.65" customHeight="1" x14ac:dyDescent="0.55000000000000004">
      <c r="A29" s="105">
        <v>24</v>
      </c>
      <c r="B29" s="106">
        <v>2024</v>
      </c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80</v>
      </c>
      <c r="U29" s="53"/>
      <c r="W29" s="53"/>
      <c r="X29" s="53"/>
    </row>
    <row r="30" spans="1:24" ht="45.65" customHeight="1" x14ac:dyDescent="0.55000000000000004">
      <c r="A30" s="105">
        <v>25</v>
      </c>
      <c r="B30" s="106">
        <v>2025</v>
      </c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150</v>
      </c>
      <c r="U30" s="53"/>
      <c r="W30" s="53"/>
      <c r="X30" s="53"/>
    </row>
    <row r="31" spans="1:24" ht="45.65" customHeight="1" x14ac:dyDescent="0.55000000000000004">
      <c r="A31" s="105">
        <v>26</v>
      </c>
      <c r="B31" s="106">
        <v>2026</v>
      </c>
      <c r="C31" s="120" t="s">
        <v>121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W31" s="53"/>
      <c r="X31" s="53"/>
    </row>
    <row r="32" spans="1:24" ht="45.65" customHeight="1" x14ac:dyDescent="0.55000000000000004">
      <c r="A32" s="105">
        <v>27</v>
      </c>
      <c r="B32" s="106">
        <v>2027</v>
      </c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200</v>
      </c>
      <c r="U32" s="53"/>
      <c r="W32" s="53"/>
      <c r="X32" s="53"/>
    </row>
    <row r="33" spans="1:24" ht="45.65" customHeight="1" x14ac:dyDescent="0.55000000000000004">
      <c r="A33" s="105">
        <v>28</v>
      </c>
      <c r="B33" s="106">
        <v>2028</v>
      </c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/>
      <c r="S33" s="111">
        <v>0</v>
      </c>
      <c r="T33" s="112">
        <f t="shared" si="2"/>
        <v>250</v>
      </c>
      <c r="U33" s="53"/>
      <c r="W33" s="53"/>
      <c r="X33" s="118"/>
    </row>
    <row r="34" spans="1:24" ht="45.65" customHeight="1" x14ac:dyDescent="0.55000000000000004">
      <c r="A34" s="105">
        <v>29</v>
      </c>
      <c r="B34" s="106">
        <v>2029</v>
      </c>
      <c r="C34" s="120" t="s">
        <v>209</v>
      </c>
      <c r="D34" s="121" t="s">
        <v>177</v>
      </c>
      <c r="E34" s="121" t="s">
        <v>185</v>
      </c>
      <c r="F34" s="120" t="s">
        <v>159</v>
      </c>
      <c r="G34" s="106">
        <v>270</v>
      </c>
      <c r="H34" s="110">
        <v>26</v>
      </c>
      <c r="I34" s="110">
        <v>0</v>
      </c>
      <c r="J34" s="111">
        <f t="shared" si="0"/>
        <v>270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270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270</v>
      </c>
      <c r="U34" s="53"/>
      <c r="W34" s="53"/>
      <c r="X34" s="53"/>
    </row>
    <row r="35" spans="1:24" ht="45.65" customHeight="1" x14ac:dyDescent="0.55000000000000004">
      <c r="A35" s="105">
        <v>30</v>
      </c>
      <c r="B35" s="106">
        <v>2030</v>
      </c>
      <c r="C35" s="120" t="s">
        <v>210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W35" s="53"/>
      <c r="X35" s="53"/>
    </row>
    <row r="36" spans="1:24" ht="45.65" customHeight="1" x14ac:dyDescent="0.55000000000000004">
      <c r="A36" s="105">
        <v>31</v>
      </c>
      <c r="B36" s="106">
        <v>2031</v>
      </c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50</v>
      </c>
      <c r="M36" s="111">
        <v>0</v>
      </c>
      <c r="N36" s="111">
        <v>0</v>
      </c>
      <c r="O36" s="111">
        <f t="shared" si="1"/>
        <v>330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330</v>
      </c>
      <c r="U36" s="53"/>
      <c r="W36" s="53"/>
      <c r="X36" s="53"/>
    </row>
    <row r="37" spans="1:24" ht="45.65" customHeight="1" x14ac:dyDescent="0.55000000000000004">
      <c r="A37" s="105">
        <v>32</v>
      </c>
      <c r="B37" s="106">
        <v>2032</v>
      </c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200</v>
      </c>
      <c r="U37" s="53"/>
      <c r="W37" s="53"/>
      <c r="X37" s="53"/>
    </row>
    <row r="38" spans="1:24" ht="45.65" customHeight="1" x14ac:dyDescent="0.55000000000000004">
      <c r="A38" s="105">
        <v>33</v>
      </c>
      <c r="B38" s="106">
        <v>2033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2"/>
        <v>400</v>
      </c>
      <c r="U38" s="53" t="s">
        <v>176</v>
      </c>
      <c r="W38" s="53">
        <v>600</v>
      </c>
      <c r="X38" s="118">
        <v>-200</v>
      </c>
    </row>
    <row r="39" spans="1:24" ht="45.65" customHeight="1" x14ac:dyDescent="0.55000000000000004">
      <c r="A39" s="105">
        <v>34</v>
      </c>
      <c r="B39" s="106">
        <v>2034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450</v>
      </c>
      <c r="U39" s="53"/>
      <c r="W39" s="53"/>
      <c r="X39" s="53"/>
    </row>
    <row r="40" spans="1:24" ht="45.65" customHeight="1" x14ac:dyDescent="0.55000000000000004">
      <c r="A40" s="105">
        <v>35</v>
      </c>
      <c r="B40" s="106">
        <v>2035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1.18</v>
      </c>
      <c r="R40" s="111">
        <v>0</v>
      </c>
      <c r="S40" s="111">
        <v>0</v>
      </c>
      <c r="T40" s="112">
        <f t="shared" si="2"/>
        <v>548.82000000000005</v>
      </c>
      <c r="U40" s="53"/>
      <c r="W40" s="53"/>
      <c r="X40" s="53"/>
    </row>
    <row r="41" spans="1:24" ht="45.65" customHeight="1" x14ac:dyDescent="0.55000000000000004">
      <c r="A41" s="105">
        <v>36</v>
      </c>
      <c r="B41" s="106">
        <v>2036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1.92</v>
      </c>
      <c r="R41" s="111">
        <v>0</v>
      </c>
      <c r="S41" s="111">
        <v>0</v>
      </c>
      <c r="T41" s="112">
        <f t="shared" si="2"/>
        <v>448.08</v>
      </c>
      <c r="U41" s="53"/>
      <c r="W41" s="53"/>
      <c r="X41" s="53"/>
    </row>
    <row r="42" spans="1:24" ht="45.65" customHeight="1" x14ac:dyDescent="0.55000000000000004">
      <c r="A42" s="105">
        <v>37</v>
      </c>
      <c r="B42" s="106">
        <v>2037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1.92</v>
      </c>
      <c r="R42" s="111">
        <v>0</v>
      </c>
      <c r="S42" s="111">
        <v>0</v>
      </c>
      <c r="T42" s="112">
        <f t="shared" si="2"/>
        <v>448.08</v>
      </c>
      <c r="U42" s="53"/>
      <c r="W42" s="53"/>
      <c r="X42" s="53"/>
    </row>
    <row r="43" spans="1:24" ht="45.65" customHeight="1" x14ac:dyDescent="0.55000000000000004">
      <c r="A43" s="105">
        <v>38</v>
      </c>
      <c r="B43" s="106">
        <v>2038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260</v>
      </c>
      <c r="U43" s="53"/>
      <c r="W43" s="53"/>
      <c r="X43" s="53"/>
    </row>
    <row r="44" spans="1:24" ht="45.65" customHeight="1" x14ac:dyDescent="0.55000000000000004">
      <c r="A44" s="105">
        <v>39</v>
      </c>
      <c r="B44" s="106">
        <v>2039</v>
      </c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119.99999999999999</v>
      </c>
      <c r="U44" s="53"/>
      <c r="W44" s="53"/>
      <c r="X44" s="53"/>
    </row>
    <row r="45" spans="1:24" ht="45.65" customHeight="1" x14ac:dyDescent="0.55000000000000004">
      <c r="A45" s="105">
        <v>40</v>
      </c>
      <c r="B45" s="106">
        <v>2040</v>
      </c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55">
        <v>110</v>
      </c>
      <c r="M45" s="111">
        <v>0</v>
      </c>
      <c r="N45" s="111">
        <v>0</v>
      </c>
      <c r="O45" s="111">
        <f t="shared" si="1"/>
        <v>230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230</v>
      </c>
      <c r="U45" s="53"/>
      <c r="W45" s="53"/>
      <c r="X45" s="118"/>
    </row>
    <row r="46" spans="1:24" ht="45.65" customHeight="1" x14ac:dyDescent="0.55000000000000004">
      <c r="A46" s="105">
        <v>41</v>
      </c>
      <c r="B46" s="106">
        <v>2041</v>
      </c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80</v>
      </c>
      <c r="U46" s="53"/>
      <c r="W46" s="53"/>
      <c r="X46" s="118"/>
    </row>
    <row r="47" spans="1:24" ht="45.65" customHeight="1" x14ac:dyDescent="0.55000000000000004">
      <c r="A47" s="105">
        <v>42</v>
      </c>
      <c r="B47" s="106">
        <v>2042</v>
      </c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50</v>
      </c>
      <c r="M47" s="111">
        <v>0</v>
      </c>
      <c r="N47" s="111">
        <v>0</v>
      </c>
      <c r="O47" s="111">
        <f t="shared" si="1"/>
        <v>290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2"/>
        <v>290</v>
      </c>
      <c r="U47" s="53"/>
      <c r="W47" s="53"/>
      <c r="X47" s="118"/>
    </row>
    <row r="48" spans="1:24" ht="45.65" customHeight="1" x14ac:dyDescent="0.55000000000000004">
      <c r="A48" s="105">
        <v>43</v>
      </c>
      <c r="B48" s="106">
        <v>2043</v>
      </c>
      <c r="C48" s="120" t="s">
        <v>138</v>
      </c>
      <c r="D48" s="121" t="s">
        <v>184</v>
      </c>
      <c r="E48" s="121" t="s">
        <v>185</v>
      </c>
      <c r="F48" s="120" t="s">
        <v>165</v>
      </c>
      <c r="G48" s="106">
        <v>120</v>
      </c>
      <c r="H48" s="110">
        <v>26</v>
      </c>
      <c r="I48" s="110">
        <v>0</v>
      </c>
      <c r="J48" s="111">
        <f t="shared" si="0"/>
        <v>119.99999999999999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119.99999999999999</v>
      </c>
      <c r="P48" s="111">
        <v>0</v>
      </c>
      <c r="Q48" s="111">
        <v>55.38</v>
      </c>
      <c r="R48" s="111">
        <v>0</v>
      </c>
      <c r="S48" s="111">
        <v>0</v>
      </c>
      <c r="T48" s="112">
        <f t="shared" si="2"/>
        <v>64.619999999999976</v>
      </c>
      <c r="U48" s="53"/>
      <c r="W48" s="53"/>
      <c r="X48" s="118"/>
    </row>
    <row r="49" spans="1:24" ht="45.65" customHeight="1" thickBot="1" x14ac:dyDescent="0.6">
      <c r="A49" s="127">
        <v>44</v>
      </c>
      <c r="B49" s="128">
        <v>2044</v>
      </c>
      <c r="C49" s="129" t="s">
        <v>139</v>
      </c>
      <c r="D49" s="130" t="s">
        <v>184</v>
      </c>
      <c r="E49" s="121" t="s">
        <v>185</v>
      </c>
      <c r="F49" s="129" t="s">
        <v>167</v>
      </c>
      <c r="G49" s="128">
        <v>100</v>
      </c>
      <c r="H49" s="131">
        <v>26</v>
      </c>
      <c r="I49" s="131">
        <v>0</v>
      </c>
      <c r="J49" s="132">
        <f t="shared" si="0"/>
        <v>100</v>
      </c>
      <c r="K49" s="132">
        <v>0</v>
      </c>
      <c r="L49" s="132">
        <v>0</v>
      </c>
      <c r="M49" s="132">
        <v>0</v>
      </c>
      <c r="N49" s="132">
        <v>0</v>
      </c>
      <c r="O49" s="132">
        <f t="shared" si="1"/>
        <v>100</v>
      </c>
      <c r="P49" s="132">
        <v>0</v>
      </c>
      <c r="Q49" s="132">
        <v>50</v>
      </c>
      <c r="R49" s="132">
        <v>0</v>
      </c>
      <c r="S49" s="132">
        <v>0</v>
      </c>
      <c r="T49" s="133">
        <f t="shared" si="2"/>
        <v>50</v>
      </c>
      <c r="U49" s="53"/>
      <c r="W49" s="53"/>
      <c r="X49" s="118"/>
    </row>
    <row r="50" spans="1:24" ht="45.65" customHeight="1" x14ac:dyDescent="0.55000000000000004">
      <c r="A50" s="134">
        <v>45</v>
      </c>
      <c r="B50" s="135">
        <v>2045</v>
      </c>
      <c r="C50" s="136" t="s">
        <v>140</v>
      </c>
      <c r="D50" s="137" t="s">
        <v>180</v>
      </c>
      <c r="E50" s="121" t="s">
        <v>185</v>
      </c>
      <c r="F50" s="136" t="s">
        <v>168</v>
      </c>
      <c r="G50" s="135">
        <v>250</v>
      </c>
      <c r="H50" s="138">
        <v>26</v>
      </c>
      <c r="I50" s="138">
        <v>0</v>
      </c>
      <c r="J50" s="139">
        <f t="shared" si="0"/>
        <v>250</v>
      </c>
      <c r="K50" s="139">
        <v>0</v>
      </c>
      <c r="L50" s="139">
        <v>0</v>
      </c>
      <c r="M50" s="139">
        <v>0</v>
      </c>
      <c r="N50" s="139">
        <v>0</v>
      </c>
      <c r="O50" s="139">
        <f t="shared" si="1"/>
        <v>250</v>
      </c>
      <c r="P50" s="139">
        <v>0</v>
      </c>
      <c r="Q50" s="139">
        <v>0</v>
      </c>
      <c r="R50" s="139">
        <v>0</v>
      </c>
      <c r="S50" s="139">
        <v>0</v>
      </c>
      <c r="T50" s="140">
        <f t="shared" si="2"/>
        <v>250</v>
      </c>
      <c r="U50" s="53"/>
      <c r="W50" s="53"/>
      <c r="X50" s="118"/>
    </row>
    <row r="51" spans="1:24" ht="45.65" customHeight="1" x14ac:dyDescent="0.55000000000000004">
      <c r="A51" s="105">
        <v>46</v>
      </c>
      <c r="B51" s="106">
        <v>2046</v>
      </c>
      <c r="C51" s="107" t="s">
        <v>141</v>
      </c>
      <c r="D51" s="108" t="s">
        <v>184</v>
      </c>
      <c r="E51" s="121" t="s">
        <v>185</v>
      </c>
      <c r="F51" s="107" t="s">
        <v>169</v>
      </c>
      <c r="G51" s="109">
        <v>80</v>
      </c>
      <c r="H51" s="110">
        <v>26</v>
      </c>
      <c r="I51" s="110">
        <v>0</v>
      </c>
      <c r="J51" s="111">
        <f t="shared" si="0"/>
        <v>80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80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80</v>
      </c>
      <c r="U51" s="53"/>
      <c r="W51" s="53"/>
      <c r="X51" s="118"/>
    </row>
    <row r="52" spans="1:24" ht="45.65" customHeight="1" x14ac:dyDescent="0.55000000000000004">
      <c r="A52" s="105">
        <v>47</v>
      </c>
      <c r="B52" s="106">
        <v>2047</v>
      </c>
      <c r="C52" s="107" t="s">
        <v>142</v>
      </c>
      <c r="D52" s="108" t="s">
        <v>184</v>
      </c>
      <c r="E52" s="121" t="s">
        <v>185</v>
      </c>
      <c r="F52" s="107" t="s">
        <v>170</v>
      </c>
      <c r="G52" s="109">
        <v>150</v>
      </c>
      <c r="H52" s="110">
        <v>26</v>
      </c>
      <c r="I52" s="110">
        <v>0</v>
      </c>
      <c r="J52" s="111">
        <f t="shared" si="0"/>
        <v>150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150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2"/>
        <v>150</v>
      </c>
      <c r="U52" s="53"/>
      <c r="W52" s="53"/>
      <c r="X52" s="118"/>
    </row>
    <row r="53" spans="1:24" ht="45.65" customHeight="1" x14ac:dyDescent="0.55000000000000004">
      <c r="A53" s="105">
        <v>50</v>
      </c>
      <c r="B53" s="106">
        <v>2050</v>
      </c>
      <c r="C53" s="154" t="s">
        <v>213</v>
      </c>
      <c r="D53" s="108" t="s">
        <v>177</v>
      </c>
      <c r="E53" s="108" t="s">
        <v>185</v>
      </c>
      <c r="F53" s="107"/>
      <c r="G53" s="141">
        <v>600</v>
      </c>
      <c r="H53" s="110">
        <v>26</v>
      </c>
      <c r="I53" s="110">
        <v>0</v>
      </c>
      <c r="J53" s="111">
        <f t="shared" si="0"/>
        <v>600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600</v>
      </c>
      <c r="P53" s="111">
        <v>0</v>
      </c>
      <c r="Q53" s="153">
        <v>0</v>
      </c>
      <c r="R53" s="111">
        <v>0</v>
      </c>
      <c r="S53" s="151">
        <v>176.3</v>
      </c>
      <c r="T53" s="112">
        <f t="shared" si="2"/>
        <v>423.7</v>
      </c>
      <c r="U53" s="53" t="s">
        <v>176</v>
      </c>
      <c r="W53" s="53">
        <v>600</v>
      </c>
      <c r="X53" s="118">
        <v>-176.3</v>
      </c>
    </row>
    <row r="54" spans="1:24" ht="45.65" customHeight="1" x14ac:dyDescent="0.55000000000000004">
      <c r="A54" s="105">
        <v>51</v>
      </c>
      <c r="B54" s="106">
        <v>2051</v>
      </c>
      <c r="C54" s="154" t="s">
        <v>214</v>
      </c>
      <c r="D54" s="108" t="s">
        <v>177</v>
      </c>
      <c r="E54" s="108" t="s">
        <v>185</v>
      </c>
      <c r="F54" s="107"/>
      <c r="G54" s="141">
        <v>416.1</v>
      </c>
      <c r="H54" s="110">
        <v>26</v>
      </c>
      <c r="I54" s="110">
        <v>0</v>
      </c>
      <c r="J54" s="111">
        <f t="shared" si="0"/>
        <v>416.1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416.1</v>
      </c>
      <c r="P54" s="111">
        <v>0</v>
      </c>
      <c r="Q54" s="111">
        <v>1.27</v>
      </c>
      <c r="R54" s="111">
        <v>0</v>
      </c>
      <c r="S54" s="111">
        <v>0</v>
      </c>
      <c r="T54" s="112">
        <f t="shared" si="2"/>
        <v>414.83000000000004</v>
      </c>
      <c r="U54" s="53"/>
      <c r="W54" s="53"/>
      <c r="X54" s="118"/>
    </row>
    <row r="55" spans="1:24" ht="45.65" customHeight="1" x14ac:dyDescent="0.55000000000000004">
      <c r="A55" s="105">
        <v>52</v>
      </c>
      <c r="B55" s="106">
        <v>2052</v>
      </c>
      <c r="C55" s="154" t="s">
        <v>175</v>
      </c>
      <c r="D55" s="108"/>
      <c r="E55" s="108" t="s">
        <v>192</v>
      </c>
      <c r="F55" s="107"/>
      <c r="G55" s="109">
        <v>300</v>
      </c>
      <c r="H55" s="110">
        <v>26</v>
      </c>
      <c r="I55" s="110">
        <v>0</v>
      </c>
      <c r="J55" s="111">
        <f t="shared" si="0"/>
        <v>300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300</v>
      </c>
      <c r="P55" s="111">
        <v>0</v>
      </c>
      <c r="Q55" s="153">
        <v>0</v>
      </c>
      <c r="R55" s="111">
        <v>0</v>
      </c>
      <c r="S55" s="151">
        <v>300</v>
      </c>
      <c r="T55" s="112">
        <f t="shared" si="2"/>
        <v>0</v>
      </c>
      <c r="U55" s="53" t="s">
        <v>176</v>
      </c>
      <c r="W55" s="53">
        <v>300</v>
      </c>
      <c r="X55" s="118">
        <v>-300</v>
      </c>
    </row>
    <row r="56" spans="1:24" ht="45.65" customHeight="1" x14ac:dyDescent="0.55000000000000004">
      <c r="A56" s="105">
        <v>53</v>
      </c>
      <c r="B56" s="106">
        <v>2053</v>
      </c>
      <c r="C56" s="154" t="s">
        <v>215</v>
      </c>
      <c r="D56" s="108"/>
      <c r="E56" s="108" t="s">
        <v>192</v>
      </c>
      <c r="F56" s="107"/>
      <c r="G56" s="109">
        <v>600</v>
      </c>
      <c r="H56" s="110">
        <v>26</v>
      </c>
      <c r="I56" s="110">
        <v>0</v>
      </c>
      <c r="J56" s="111">
        <f t="shared" si="0"/>
        <v>600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600</v>
      </c>
      <c r="P56" s="111">
        <v>0</v>
      </c>
      <c r="Q56" s="153">
        <v>0</v>
      </c>
      <c r="R56" s="111">
        <v>0</v>
      </c>
      <c r="S56" s="151">
        <v>600</v>
      </c>
      <c r="T56" s="112">
        <f t="shared" si="2"/>
        <v>0</v>
      </c>
      <c r="U56" s="52" t="s">
        <v>176</v>
      </c>
      <c r="W56" s="53">
        <v>600</v>
      </c>
      <c r="X56" s="118">
        <v>-600</v>
      </c>
    </row>
    <row r="57" spans="1:24" ht="45.65" customHeight="1" x14ac:dyDescent="0.55000000000000004">
      <c r="A57" s="105">
        <v>54</v>
      </c>
      <c r="B57" s="106">
        <v>2054</v>
      </c>
      <c r="C57" s="107"/>
      <c r="D57" s="108"/>
      <c r="E57" s="108"/>
      <c r="F57" s="107"/>
      <c r="G57" s="109"/>
      <c r="H57" s="110">
        <v>26</v>
      </c>
      <c r="I57" s="110">
        <v>0</v>
      </c>
      <c r="J57" s="111">
        <f t="shared" si="0"/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0</v>
      </c>
      <c r="P57" s="111">
        <v>0</v>
      </c>
      <c r="Q57" s="111">
        <v>0</v>
      </c>
      <c r="R57" s="111">
        <v>0</v>
      </c>
      <c r="S57" s="111">
        <v>0</v>
      </c>
      <c r="T57" s="112">
        <f t="shared" si="2"/>
        <v>0</v>
      </c>
      <c r="U57" s="51"/>
      <c r="W57" s="53"/>
      <c r="X57" s="118"/>
    </row>
    <row r="58" spans="1:24" ht="45.65" customHeight="1" x14ac:dyDescent="0.55000000000000004">
      <c r="A58" s="105">
        <v>55</v>
      </c>
      <c r="B58" s="106">
        <v>2055</v>
      </c>
      <c r="C58" s="107"/>
      <c r="D58" s="108"/>
      <c r="E58" s="108"/>
      <c r="F58" s="107"/>
      <c r="G58" s="109"/>
      <c r="H58" s="110">
        <v>26</v>
      </c>
      <c r="I58" s="110">
        <v>0</v>
      </c>
      <c r="J58" s="111">
        <f t="shared" si="0"/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2"/>
        <v>0</v>
      </c>
      <c r="U58" s="51"/>
      <c r="W58" s="53"/>
      <c r="X58" s="118"/>
    </row>
    <row r="59" spans="1:24" ht="45.65" customHeight="1" thickBot="1" x14ac:dyDescent="0.6">
      <c r="A59" s="142">
        <v>56</v>
      </c>
      <c r="B59" s="143">
        <v>2056</v>
      </c>
      <c r="C59" s="144"/>
      <c r="D59" s="145"/>
      <c r="E59" s="145"/>
      <c r="F59" s="144"/>
      <c r="G59" s="146"/>
      <c r="H59" s="147">
        <v>26</v>
      </c>
      <c r="I59" s="147">
        <v>0</v>
      </c>
      <c r="J59" s="148">
        <f t="shared" si="0"/>
        <v>0</v>
      </c>
      <c r="K59" s="148">
        <v>0</v>
      </c>
      <c r="L59" s="148">
        <v>0</v>
      </c>
      <c r="M59" s="148">
        <v>0</v>
      </c>
      <c r="N59" s="148">
        <v>0</v>
      </c>
      <c r="O59" s="148">
        <f t="shared" si="1"/>
        <v>0</v>
      </c>
      <c r="P59" s="148">
        <v>0</v>
      </c>
      <c r="Q59" s="148">
        <v>0</v>
      </c>
      <c r="R59" s="148">
        <v>0</v>
      </c>
      <c r="S59" s="148">
        <v>0</v>
      </c>
      <c r="T59" s="149">
        <f t="shared" si="2"/>
        <v>0</v>
      </c>
      <c r="U59" s="54"/>
      <c r="W59" s="53"/>
      <c r="X59" s="118"/>
    </row>
    <row r="60" spans="1:24" ht="50.15" customHeight="1" thickBot="1" x14ac:dyDescent="0.45">
      <c r="A60" s="256" t="s">
        <v>0</v>
      </c>
      <c r="B60" s="257"/>
      <c r="C60" s="257"/>
      <c r="D60" s="257"/>
      <c r="E60" s="257"/>
      <c r="F60" s="257"/>
      <c r="G60" s="257"/>
      <c r="H60" s="257"/>
      <c r="I60" s="258"/>
      <c r="J60" s="116">
        <f t="shared" ref="J60:T60" si="3">SUBTOTAL(9,J6:J59)</f>
        <v>14341.1</v>
      </c>
      <c r="K60" s="116">
        <f t="shared" si="3"/>
        <v>0</v>
      </c>
      <c r="L60" s="116">
        <f t="shared" si="3"/>
        <v>260</v>
      </c>
      <c r="M60" s="116">
        <f t="shared" si="3"/>
        <v>0</v>
      </c>
      <c r="N60" s="116">
        <f t="shared" si="3"/>
        <v>300</v>
      </c>
      <c r="O60" s="116">
        <f t="shared" si="3"/>
        <v>14901.1</v>
      </c>
      <c r="P60" s="116">
        <f t="shared" si="3"/>
        <v>0</v>
      </c>
      <c r="Q60" s="116">
        <f t="shared" si="3"/>
        <v>132.43923076923079</v>
      </c>
      <c r="R60" s="116">
        <f t="shared" si="3"/>
        <v>150</v>
      </c>
      <c r="S60" s="152">
        <f t="shared" si="3"/>
        <v>1276.3</v>
      </c>
      <c r="T60" s="124">
        <f t="shared" si="3"/>
        <v>13342.360769230771</v>
      </c>
      <c r="U60" s="116"/>
      <c r="W60" s="116">
        <f t="shared" ref="W60:X60" si="4">SUBTOTAL(9,W6:W59)</f>
        <v>2100</v>
      </c>
      <c r="X60" s="116">
        <f t="shared" si="4"/>
        <v>-1276.3</v>
      </c>
    </row>
    <row r="63" spans="1:24" x14ac:dyDescent="0.4">
      <c r="O63" s="123">
        <f>O60-Q60</f>
        <v>14768.66076923077</v>
      </c>
    </row>
    <row r="65" spans="15:15" x14ac:dyDescent="0.4">
      <c r="O65" s="123"/>
    </row>
    <row r="66" spans="15:15" x14ac:dyDescent="0.4">
      <c r="O66" s="123"/>
    </row>
  </sheetData>
  <autoFilter ref="A5:X59" xr:uid="{00000000-0001-0000-0300-000000000000}"/>
  <mergeCells count="18"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  <mergeCell ref="A60:I60"/>
    <mergeCell ref="I4:I5"/>
    <mergeCell ref="J4:O4"/>
    <mergeCell ref="P4:S4"/>
    <mergeCell ref="T4:T5"/>
  </mergeCells>
  <conditionalFormatting sqref="C6:C59">
    <cfRule type="duplicateValues" dxfId="14" priority="820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F50D-FDBB-498D-AAA2-6DD1287B8672}">
  <sheetPr>
    <pageSetUpPr fitToPage="1"/>
  </sheetPr>
  <dimension ref="A1:X66"/>
  <sheetViews>
    <sheetView topLeftCell="C1" zoomScale="60" zoomScaleNormal="60" workbookViewId="0">
      <pane ySplit="5" topLeftCell="A6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</cols>
  <sheetData>
    <row r="1" spans="1:24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4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4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4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</row>
    <row r="5" spans="1:24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V5" s="160" t="s">
        <v>242</v>
      </c>
      <c r="W5" s="226"/>
      <c r="X5" s="226"/>
    </row>
    <row r="6" spans="1:24" ht="45.65" customHeight="1" x14ac:dyDescent="0.55000000000000004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</row>
    <row r="7" spans="1:24" ht="45.65" customHeight="1" x14ac:dyDescent="0.55000000000000004">
      <c r="A7" s="105">
        <v>2</v>
      </c>
      <c r="B7" s="106"/>
      <c r="C7" s="120" t="s">
        <v>98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1" si="1">J7+K7+L7+M7+N7</f>
        <v>150</v>
      </c>
      <c r="P7" s="111">
        <v>0</v>
      </c>
      <c r="Q7" s="111">
        <v>5.7692307692307692</v>
      </c>
      <c r="R7" s="111">
        <v>0</v>
      </c>
      <c r="S7" s="111">
        <v>0</v>
      </c>
      <c r="T7" s="112">
        <f>O7-P7-Q7-R7-S7</f>
        <v>144.23076923076923</v>
      </c>
      <c r="U7" s="51"/>
      <c r="V7" t="s">
        <v>241</v>
      </c>
      <c r="W7" s="51"/>
      <c r="X7" s="51"/>
    </row>
    <row r="8" spans="1:24" ht="45.65" customHeight="1" x14ac:dyDescent="0.55000000000000004">
      <c r="A8" s="52"/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0.98557692307692313</v>
      </c>
      <c r="R8" s="111">
        <v>0</v>
      </c>
      <c r="S8" s="111">
        <v>0</v>
      </c>
      <c r="T8" s="112">
        <f t="shared" ref="T8:T61" si="2">O8-P8-Q8-R8-S8</f>
        <v>409.01442307692309</v>
      </c>
      <c r="U8" s="52"/>
      <c r="V8" t="s">
        <v>197</v>
      </c>
      <c r="X8" s="52"/>
    </row>
    <row r="9" spans="1:24" ht="45.65" customHeight="1" x14ac:dyDescent="0.55000000000000004">
      <c r="A9" s="105">
        <v>4</v>
      </c>
      <c r="B9" s="106"/>
      <c r="C9" s="120" t="s">
        <v>99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2"/>
        <v>255.00000000000003</v>
      </c>
      <c r="U9" s="53"/>
      <c r="V9" t="s">
        <v>241</v>
      </c>
      <c r="W9" s="53"/>
      <c r="X9" s="53"/>
    </row>
    <row r="10" spans="1:24" ht="45.65" customHeight="1" x14ac:dyDescent="0.55000000000000004">
      <c r="A10" s="105">
        <v>5</v>
      </c>
      <c r="B10" s="106"/>
      <c r="C10" s="120" t="s">
        <v>100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  <c r="V10" t="s">
        <v>241</v>
      </c>
      <c r="W10" s="53"/>
      <c r="X10" s="53"/>
    </row>
    <row r="11" spans="1:24" ht="45.65" customHeight="1" x14ac:dyDescent="0.55000000000000004">
      <c r="A11" s="105">
        <v>6</v>
      </c>
      <c r="B11" s="106"/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2.0673076923076925</v>
      </c>
      <c r="R11" s="111">
        <v>0</v>
      </c>
      <c r="S11" s="111">
        <v>0</v>
      </c>
      <c r="T11" s="112">
        <f t="shared" si="2"/>
        <v>427.93269230769238</v>
      </c>
      <c r="U11" s="53"/>
      <c r="V11" t="s">
        <v>241</v>
      </c>
      <c r="W11" s="53"/>
      <c r="X11" s="53"/>
    </row>
    <row r="12" spans="1:24" ht="45.65" customHeight="1" x14ac:dyDescent="0.55000000000000004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  <c r="V12" t="s">
        <v>197</v>
      </c>
      <c r="W12" s="53"/>
      <c r="X12" s="53"/>
    </row>
    <row r="13" spans="1:24" ht="45.65" customHeight="1" x14ac:dyDescent="0.55000000000000004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  <c r="V13" t="s">
        <v>197</v>
      </c>
      <c r="W13" s="53"/>
      <c r="X13" s="53"/>
    </row>
    <row r="14" spans="1:24" ht="45.65" customHeight="1" x14ac:dyDescent="0.55000000000000004">
      <c r="A14" s="105">
        <v>9</v>
      </c>
      <c r="B14" s="106"/>
      <c r="C14" s="120" t="s">
        <v>104</v>
      </c>
      <c r="D14" s="121" t="s">
        <v>178</v>
      </c>
      <c r="E14" s="121" t="s">
        <v>185</v>
      </c>
      <c r="F14" s="120" t="s">
        <v>89</v>
      </c>
      <c r="G14" s="106">
        <v>480</v>
      </c>
      <c r="H14" s="110">
        <v>26</v>
      </c>
      <c r="I14" s="110">
        <v>0</v>
      </c>
      <c r="J14" s="111">
        <f t="shared" si="0"/>
        <v>479.99999999999994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479.99999999999994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479.99999999999994</v>
      </c>
      <c r="U14" s="53"/>
      <c r="V14" t="s">
        <v>241</v>
      </c>
      <c r="W14" s="53"/>
      <c r="X14" s="53"/>
    </row>
    <row r="15" spans="1:24" ht="45.65" customHeight="1" x14ac:dyDescent="0.55000000000000004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200</v>
      </c>
      <c r="U15" s="53"/>
      <c r="V15" t="s">
        <v>197</v>
      </c>
      <c r="W15" s="53"/>
      <c r="X15" s="53"/>
    </row>
    <row r="16" spans="1:24" ht="45.65" customHeight="1" x14ac:dyDescent="0.55000000000000004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2"/>
        <v>430.00000000000006</v>
      </c>
      <c r="U16" s="53"/>
      <c r="V16" t="s">
        <v>197</v>
      </c>
      <c r="W16" s="53"/>
      <c r="X16" s="53"/>
    </row>
    <row r="17" spans="1:24" ht="45.65" customHeight="1" x14ac:dyDescent="0.55000000000000004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2"/>
        <v>400</v>
      </c>
      <c r="U17" s="53"/>
      <c r="V17" t="s">
        <v>197</v>
      </c>
      <c r="W17" s="53"/>
      <c r="X17" s="53"/>
    </row>
    <row r="18" spans="1:24" ht="45.65" customHeight="1" x14ac:dyDescent="0.55000000000000004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600</v>
      </c>
      <c r="U18" s="53"/>
      <c r="V18" t="s">
        <v>197</v>
      </c>
      <c r="W18" s="53"/>
      <c r="X18" s="53"/>
    </row>
    <row r="19" spans="1:24" ht="45.65" customHeight="1" x14ac:dyDescent="0.55000000000000004">
      <c r="A19" s="105">
        <v>14</v>
      </c>
      <c r="B19" s="106" t="s">
        <v>223</v>
      </c>
      <c r="C19" s="120" t="s">
        <v>203</v>
      </c>
      <c r="D19" s="121" t="s">
        <v>181</v>
      </c>
      <c r="E19" s="121" t="s">
        <v>185</v>
      </c>
      <c r="F19" s="120" t="s">
        <v>154</v>
      </c>
      <c r="G19" s="106">
        <v>350</v>
      </c>
      <c r="H19" s="110">
        <v>26</v>
      </c>
      <c r="I19" s="110">
        <v>0</v>
      </c>
      <c r="J19" s="111">
        <f t="shared" si="0"/>
        <v>350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350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2"/>
        <v>350</v>
      </c>
      <c r="U19" s="53"/>
      <c r="V19" t="s">
        <v>197</v>
      </c>
      <c r="W19" s="53"/>
      <c r="X19" s="53"/>
    </row>
    <row r="20" spans="1:24" ht="45.65" customHeight="1" x14ac:dyDescent="0.55000000000000004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2"/>
        <v>250</v>
      </c>
      <c r="U20" s="53"/>
      <c r="V20" t="s">
        <v>197</v>
      </c>
      <c r="W20" s="119"/>
      <c r="X20" s="118"/>
    </row>
    <row r="21" spans="1:24" ht="45.65" customHeight="1" x14ac:dyDescent="0.55000000000000004">
      <c r="A21" s="105">
        <v>16</v>
      </c>
      <c r="B21" s="106"/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2"/>
        <v>100</v>
      </c>
      <c r="U21" s="53"/>
      <c r="V21" t="s">
        <v>241</v>
      </c>
      <c r="W21" s="53"/>
      <c r="X21" s="53"/>
    </row>
    <row r="22" spans="1:24" ht="45.65" customHeight="1" x14ac:dyDescent="0.55000000000000004">
      <c r="A22" s="105">
        <v>17</v>
      </c>
      <c r="B22" s="106"/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2"/>
        <v>400</v>
      </c>
      <c r="U22" s="53"/>
      <c r="V22" t="s">
        <v>241</v>
      </c>
      <c r="W22" s="53"/>
      <c r="X22" s="53"/>
    </row>
    <row r="23" spans="1:24" ht="45.65" customHeight="1" x14ac:dyDescent="0.55000000000000004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2.3076923076923079</v>
      </c>
      <c r="R23" s="111">
        <v>0</v>
      </c>
      <c r="S23" s="111">
        <v>0</v>
      </c>
      <c r="T23" s="112">
        <f t="shared" si="2"/>
        <v>297.69230769230768</v>
      </c>
      <c r="U23" s="53"/>
      <c r="V23" t="s">
        <v>197</v>
      </c>
      <c r="W23" s="53"/>
      <c r="X23" s="53"/>
    </row>
    <row r="24" spans="1:24" ht="45.65" customHeight="1" x14ac:dyDescent="0.55000000000000004">
      <c r="A24" s="105">
        <v>19</v>
      </c>
      <c r="B24" s="106"/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50</v>
      </c>
      <c r="U24" s="53"/>
      <c r="V24" t="s">
        <v>241</v>
      </c>
      <c r="W24" s="53"/>
      <c r="X24" s="53"/>
    </row>
    <row r="25" spans="1:24" ht="45.65" customHeight="1" x14ac:dyDescent="0.55000000000000004">
      <c r="A25" s="105">
        <v>20</v>
      </c>
      <c r="B25" s="106"/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150</v>
      </c>
      <c r="U25" s="53"/>
      <c r="V25" t="s">
        <v>241</v>
      </c>
      <c r="W25" s="53"/>
      <c r="X25" s="53"/>
    </row>
    <row r="26" spans="1:24" ht="45.65" customHeight="1" x14ac:dyDescent="0.55000000000000004">
      <c r="A26" s="105">
        <v>21</v>
      </c>
      <c r="B26" s="106" t="s">
        <v>226</v>
      </c>
      <c r="C26" s="120" t="s">
        <v>206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150</v>
      </c>
      <c r="U26" s="53"/>
      <c r="V26" t="s">
        <v>197</v>
      </c>
      <c r="W26" s="53"/>
      <c r="X26" s="53"/>
    </row>
    <row r="27" spans="1:24" ht="45.65" customHeight="1" x14ac:dyDescent="0.55000000000000004">
      <c r="A27" s="105">
        <v>22</v>
      </c>
      <c r="B27" s="106" t="s">
        <v>227</v>
      </c>
      <c r="C27" s="120" t="s">
        <v>207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150</v>
      </c>
      <c r="U27" s="53"/>
      <c r="V27" t="s">
        <v>197</v>
      </c>
      <c r="W27" s="53"/>
      <c r="X27" s="53"/>
    </row>
    <row r="28" spans="1:24" ht="45.65" customHeight="1" x14ac:dyDescent="0.55000000000000004">
      <c r="A28" s="105">
        <v>23</v>
      </c>
      <c r="B28" s="106"/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100</v>
      </c>
      <c r="U28" s="53"/>
      <c r="V28" t="s">
        <v>241</v>
      </c>
      <c r="W28" s="53"/>
      <c r="X28" s="53"/>
    </row>
    <row r="29" spans="1:24" ht="45.65" customHeight="1" x14ac:dyDescent="0.55000000000000004">
      <c r="A29" s="105">
        <v>24</v>
      </c>
      <c r="B29" s="106"/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80</v>
      </c>
      <c r="U29" s="53"/>
      <c r="V29" t="s">
        <v>241</v>
      </c>
      <c r="W29" s="53"/>
      <c r="X29" s="53"/>
    </row>
    <row r="30" spans="1:24" ht="45.65" customHeight="1" x14ac:dyDescent="0.55000000000000004">
      <c r="A30" s="105">
        <v>25</v>
      </c>
      <c r="B30" s="106"/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150</v>
      </c>
      <c r="U30" s="53"/>
      <c r="V30" t="s">
        <v>241</v>
      </c>
      <c r="W30" s="53"/>
      <c r="X30" s="53"/>
    </row>
    <row r="31" spans="1:24" ht="45.65" customHeight="1" x14ac:dyDescent="0.55000000000000004">
      <c r="A31" s="105">
        <v>26</v>
      </c>
      <c r="B31" s="106" t="s">
        <v>228</v>
      </c>
      <c r="C31" s="120" t="s">
        <v>208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150</v>
      </c>
      <c r="U31" s="53"/>
      <c r="V31" t="s">
        <v>197</v>
      </c>
      <c r="W31" s="53"/>
      <c r="X31" s="53"/>
    </row>
    <row r="32" spans="1:24" ht="45.65" customHeight="1" x14ac:dyDescent="0.55000000000000004">
      <c r="A32" s="105">
        <v>27</v>
      </c>
      <c r="B32" s="106"/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200</v>
      </c>
      <c r="U32" s="53"/>
      <c r="V32" t="s">
        <v>241</v>
      </c>
      <c r="W32" s="53"/>
      <c r="X32" s="53"/>
    </row>
    <row r="33" spans="1:24" ht="45.65" customHeight="1" x14ac:dyDescent="0.55000000000000004">
      <c r="A33" s="105">
        <v>28</v>
      </c>
      <c r="B33" s="106"/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/>
      <c r="S33" s="111">
        <v>0</v>
      </c>
      <c r="T33" s="112">
        <f t="shared" si="2"/>
        <v>250</v>
      </c>
      <c r="U33" s="53"/>
      <c r="V33" t="s">
        <v>241</v>
      </c>
      <c r="W33" s="53"/>
      <c r="X33" s="118"/>
    </row>
    <row r="34" spans="1:24" ht="45.65" customHeight="1" x14ac:dyDescent="0.55000000000000004">
      <c r="A34" s="105">
        <v>29</v>
      </c>
      <c r="B34" s="106" t="s">
        <v>229</v>
      </c>
      <c r="C34" s="120" t="s">
        <v>209</v>
      </c>
      <c r="D34" s="121" t="s">
        <v>177</v>
      </c>
      <c r="E34" s="121" t="s">
        <v>185</v>
      </c>
      <c r="F34" s="120" t="s">
        <v>159</v>
      </c>
      <c r="G34" s="106">
        <v>384.23</v>
      </c>
      <c r="H34" s="110">
        <v>26</v>
      </c>
      <c r="I34" s="110">
        <v>0</v>
      </c>
      <c r="J34" s="111">
        <f t="shared" si="0"/>
        <v>384.23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384.23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2"/>
        <v>384.23</v>
      </c>
      <c r="U34" s="53"/>
      <c r="V34" t="s">
        <v>197</v>
      </c>
      <c r="W34" s="53"/>
      <c r="X34" s="53"/>
    </row>
    <row r="35" spans="1:24" ht="45.65" customHeight="1" x14ac:dyDescent="0.55000000000000004">
      <c r="A35" s="105">
        <v>30</v>
      </c>
      <c r="B35" s="106" t="s">
        <v>230</v>
      </c>
      <c r="C35" s="120" t="s">
        <v>210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2"/>
        <v>270</v>
      </c>
      <c r="U35" s="53"/>
      <c r="V35" t="s">
        <v>197</v>
      </c>
      <c r="W35" s="53"/>
      <c r="X35" s="53"/>
    </row>
    <row r="36" spans="1:24" ht="45.65" customHeight="1" x14ac:dyDescent="0.55000000000000004">
      <c r="A36" s="105">
        <v>31</v>
      </c>
      <c r="B36" s="106"/>
      <c r="C36" s="120" t="s">
        <v>126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280</v>
      </c>
      <c r="U36" s="53"/>
      <c r="V36" t="s">
        <v>241</v>
      </c>
      <c r="W36" s="53"/>
      <c r="X36" s="53"/>
    </row>
    <row r="37" spans="1:24" ht="45.65" customHeight="1" x14ac:dyDescent="0.55000000000000004">
      <c r="A37" s="105">
        <v>32</v>
      </c>
      <c r="B37" s="106"/>
      <c r="C37" s="120" t="s">
        <v>127</v>
      </c>
      <c r="D37" s="121" t="s">
        <v>177</v>
      </c>
      <c r="E37" s="121" t="s">
        <v>191</v>
      </c>
      <c r="F37" s="120" t="s">
        <v>161</v>
      </c>
      <c r="G37" s="106">
        <v>200</v>
      </c>
      <c r="H37" s="110">
        <v>26</v>
      </c>
      <c r="I37" s="110">
        <v>0</v>
      </c>
      <c r="J37" s="111">
        <f t="shared" si="0"/>
        <v>200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200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200</v>
      </c>
      <c r="U37" s="53"/>
      <c r="V37" t="s">
        <v>241</v>
      </c>
      <c r="W37" s="53"/>
      <c r="X37" s="53"/>
    </row>
    <row r="38" spans="1:24" ht="45.65" customHeight="1" x14ac:dyDescent="0.55000000000000004">
      <c r="A38" s="105">
        <v>33</v>
      </c>
      <c r="B38" s="106" t="s">
        <v>231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2"/>
        <v>400</v>
      </c>
      <c r="U38" s="53" t="s">
        <v>176</v>
      </c>
      <c r="V38" t="s">
        <v>197</v>
      </c>
      <c r="W38" s="53">
        <v>600</v>
      </c>
      <c r="X38" s="118">
        <v>-200</v>
      </c>
    </row>
    <row r="39" spans="1:24" ht="45.65" customHeight="1" x14ac:dyDescent="0.55000000000000004">
      <c r="A39" s="105">
        <v>34</v>
      </c>
      <c r="B39" s="106" t="s">
        <v>232</v>
      </c>
      <c r="C39" s="120" t="s">
        <v>129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26</v>
      </c>
      <c r="I39" s="110">
        <v>0</v>
      </c>
      <c r="J39" s="111">
        <f t="shared" si="0"/>
        <v>450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450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2"/>
        <v>450</v>
      </c>
      <c r="U39" s="53"/>
      <c r="V39" t="s">
        <v>197</v>
      </c>
      <c r="W39" s="53"/>
      <c r="X39" s="53"/>
    </row>
    <row r="40" spans="1:24" ht="45.65" customHeight="1" x14ac:dyDescent="0.55000000000000004">
      <c r="A40" s="105">
        <v>35</v>
      </c>
      <c r="B40" s="106" t="s">
        <v>233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2"/>
        <v>550</v>
      </c>
      <c r="U40" s="53"/>
      <c r="V40" t="s">
        <v>197</v>
      </c>
      <c r="W40" s="53"/>
      <c r="X40" s="53"/>
    </row>
    <row r="41" spans="1:24" ht="45.65" customHeight="1" x14ac:dyDescent="0.55000000000000004">
      <c r="A41" s="105">
        <v>36</v>
      </c>
      <c r="B41" s="106" t="s">
        <v>234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2"/>
        <v>450</v>
      </c>
      <c r="U41" s="53"/>
      <c r="V41" t="s">
        <v>197</v>
      </c>
      <c r="W41" s="53"/>
      <c r="X41" s="53"/>
    </row>
    <row r="42" spans="1:24" ht="45.65" customHeight="1" x14ac:dyDescent="0.55000000000000004">
      <c r="A42" s="105">
        <v>37</v>
      </c>
      <c r="B42" s="106" t="s">
        <v>235</v>
      </c>
      <c r="C42" s="120" t="s">
        <v>212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0.96057692307692299</v>
      </c>
      <c r="R42" s="111">
        <v>0</v>
      </c>
      <c r="S42" s="111">
        <v>0</v>
      </c>
      <c r="T42" s="112">
        <f t="shared" si="2"/>
        <v>449.03942307692307</v>
      </c>
      <c r="U42" s="53"/>
      <c r="V42" t="s">
        <v>197</v>
      </c>
      <c r="W42" s="53"/>
      <c r="X42" s="53"/>
    </row>
    <row r="43" spans="1:24" ht="45.65" customHeight="1" x14ac:dyDescent="0.55000000000000004">
      <c r="A43" s="105">
        <v>38</v>
      </c>
      <c r="B43" s="106" t="s">
        <v>236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2"/>
        <v>260</v>
      </c>
      <c r="U43" s="53"/>
      <c r="V43" t="s">
        <v>197</v>
      </c>
      <c r="W43" s="53"/>
      <c r="X43" s="53"/>
    </row>
    <row r="44" spans="1:24" ht="45.65" customHeight="1" x14ac:dyDescent="0.55000000000000004">
      <c r="A44" s="105">
        <v>39</v>
      </c>
      <c r="B44" s="106"/>
      <c r="C44" s="120" t="s">
        <v>134</v>
      </c>
      <c r="D44" s="121" t="s">
        <v>177</v>
      </c>
      <c r="E44" s="121" t="s">
        <v>185</v>
      </c>
      <c r="F44" s="120" t="s">
        <v>89</v>
      </c>
      <c r="G44" s="106">
        <v>120</v>
      </c>
      <c r="H44" s="110">
        <v>26</v>
      </c>
      <c r="I44" s="110">
        <v>0</v>
      </c>
      <c r="J44" s="111">
        <f t="shared" si="0"/>
        <v>119.99999999999999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119.99999999999999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119.99999999999999</v>
      </c>
      <c r="U44" s="53"/>
      <c r="V44" t="s">
        <v>241</v>
      </c>
      <c r="W44" s="53"/>
      <c r="X44" s="53"/>
    </row>
    <row r="45" spans="1:24" ht="45.65" customHeight="1" x14ac:dyDescent="0.55000000000000004">
      <c r="A45" s="105">
        <v>40</v>
      </c>
      <c r="B45" s="106"/>
      <c r="C45" s="120" t="s">
        <v>135</v>
      </c>
      <c r="D45" s="121" t="s">
        <v>184</v>
      </c>
      <c r="E45" s="121" t="s">
        <v>185</v>
      </c>
      <c r="F45" s="120" t="s">
        <v>165</v>
      </c>
      <c r="G45" s="106">
        <v>120</v>
      </c>
      <c r="H45" s="110">
        <v>26</v>
      </c>
      <c r="I45" s="110">
        <v>0</v>
      </c>
      <c r="J45" s="111">
        <f t="shared" si="0"/>
        <v>119.99999999999999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119.99999999999999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119.99999999999999</v>
      </c>
      <c r="U45" s="53"/>
      <c r="V45" t="s">
        <v>241</v>
      </c>
      <c r="W45" s="53"/>
      <c r="X45" s="118"/>
    </row>
    <row r="46" spans="1:24" ht="45.65" customHeight="1" x14ac:dyDescent="0.55000000000000004">
      <c r="A46" s="105">
        <v>41</v>
      </c>
      <c r="B46" s="106"/>
      <c r="C46" s="120" t="s">
        <v>136</v>
      </c>
      <c r="D46" s="121" t="s">
        <v>184</v>
      </c>
      <c r="E46" s="121" t="s">
        <v>185</v>
      </c>
      <c r="F46" s="120" t="s">
        <v>166</v>
      </c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80</v>
      </c>
      <c r="U46" s="53"/>
      <c r="V46" t="s">
        <v>241</v>
      </c>
      <c r="W46" s="53"/>
      <c r="X46" s="118"/>
    </row>
    <row r="47" spans="1:24" ht="45.65" customHeight="1" x14ac:dyDescent="0.55000000000000004">
      <c r="A47" s="105">
        <v>42</v>
      </c>
      <c r="B47" s="106"/>
      <c r="C47" s="120" t="s">
        <v>137</v>
      </c>
      <c r="D47" s="121" t="s">
        <v>184</v>
      </c>
      <c r="E47" s="121" t="s">
        <v>185</v>
      </c>
      <c r="F47" s="120" t="s">
        <v>165</v>
      </c>
      <c r="G47" s="106">
        <v>240</v>
      </c>
      <c r="H47" s="110">
        <v>26</v>
      </c>
      <c r="I47" s="110">
        <v>0</v>
      </c>
      <c r="J47" s="111">
        <f t="shared" si="0"/>
        <v>239.99999999999997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239.99999999999997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2"/>
        <v>239.99999999999997</v>
      </c>
      <c r="U47" s="53"/>
      <c r="V47" t="s">
        <v>241</v>
      </c>
      <c r="W47" s="53"/>
      <c r="X47" s="118"/>
    </row>
    <row r="48" spans="1:24" ht="45.65" customHeight="1" x14ac:dyDescent="0.55000000000000004">
      <c r="A48" s="105">
        <v>43</v>
      </c>
      <c r="B48" s="106"/>
      <c r="C48" s="120" t="s">
        <v>138</v>
      </c>
      <c r="D48" s="121" t="s">
        <v>184</v>
      </c>
      <c r="E48" s="121" t="s">
        <v>185</v>
      </c>
      <c r="F48" s="120" t="s">
        <v>165</v>
      </c>
      <c r="G48" s="106">
        <v>120</v>
      </c>
      <c r="H48" s="110">
        <v>26</v>
      </c>
      <c r="I48" s="110">
        <v>0</v>
      </c>
      <c r="J48" s="111">
        <f t="shared" si="0"/>
        <v>119.99999999999999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119.99999999999999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2"/>
        <v>119.99999999999999</v>
      </c>
      <c r="U48" s="53"/>
      <c r="V48" t="s">
        <v>241</v>
      </c>
      <c r="W48" s="53"/>
      <c r="X48" s="118"/>
    </row>
    <row r="49" spans="1:24" ht="45.65" customHeight="1" thickBot="1" x14ac:dyDescent="0.6">
      <c r="A49" s="127">
        <v>44</v>
      </c>
      <c r="B49" s="106"/>
      <c r="C49" s="129" t="s">
        <v>139</v>
      </c>
      <c r="D49" s="130" t="s">
        <v>184</v>
      </c>
      <c r="E49" s="121" t="s">
        <v>185</v>
      </c>
      <c r="F49" s="129" t="s">
        <v>167</v>
      </c>
      <c r="G49" s="128">
        <v>100</v>
      </c>
      <c r="H49" s="131">
        <v>26</v>
      </c>
      <c r="I49" s="131">
        <v>0</v>
      </c>
      <c r="J49" s="132">
        <f t="shared" si="0"/>
        <v>100</v>
      </c>
      <c r="K49" s="132">
        <v>0</v>
      </c>
      <c r="L49" s="132">
        <v>0</v>
      </c>
      <c r="M49" s="132">
        <v>0</v>
      </c>
      <c r="N49" s="132">
        <v>0</v>
      </c>
      <c r="O49" s="132">
        <f t="shared" si="1"/>
        <v>100</v>
      </c>
      <c r="P49" s="132">
        <v>0</v>
      </c>
      <c r="Q49" s="132">
        <v>0</v>
      </c>
      <c r="R49" s="132">
        <v>0</v>
      </c>
      <c r="S49" s="132">
        <v>0</v>
      </c>
      <c r="T49" s="133">
        <f t="shared" si="2"/>
        <v>100</v>
      </c>
      <c r="U49" s="53"/>
      <c r="V49" t="s">
        <v>241</v>
      </c>
      <c r="W49" s="53"/>
      <c r="X49" s="118"/>
    </row>
    <row r="50" spans="1:24" ht="45.65" customHeight="1" x14ac:dyDescent="0.55000000000000004">
      <c r="A50" s="134">
        <v>45</v>
      </c>
      <c r="B50" s="106"/>
      <c r="C50" s="136" t="s">
        <v>140</v>
      </c>
      <c r="D50" s="137" t="s">
        <v>180</v>
      </c>
      <c r="E50" s="121" t="s">
        <v>185</v>
      </c>
      <c r="F50" s="136" t="s">
        <v>168</v>
      </c>
      <c r="G50" s="135">
        <v>250</v>
      </c>
      <c r="H50" s="138">
        <v>26</v>
      </c>
      <c r="I50" s="138">
        <v>0</v>
      </c>
      <c r="J50" s="139">
        <f t="shared" si="0"/>
        <v>250</v>
      </c>
      <c r="K50" s="139">
        <v>0</v>
      </c>
      <c r="L50" s="139">
        <v>0</v>
      </c>
      <c r="M50" s="139">
        <v>0</v>
      </c>
      <c r="N50" s="139">
        <v>0</v>
      </c>
      <c r="O50" s="139">
        <f t="shared" si="1"/>
        <v>250</v>
      </c>
      <c r="P50" s="139">
        <v>0</v>
      </c>
      <c r="Q50" s="139">
        <v>0</v>
      </c>
      <c r="R50" s="139">
        <v>0</v>
      </c>
      <c r="S50" s="139">
        <v>0</v>
      </c>
      <c r="T50" s="140">
        <f t="shared" si="2"/>
        <v>250</v>
      </c>
      <c r="U50" s="53"/>
      <c r="V50" t="s">
        <v>241</v>
      </c>
      <c r="W50" s="53"/>
      <c r="X50" s="118"/>
    </row>
    <row r="51" spans="1:24" ht="45.65" customHeight="1" x14ac:dyDescent="0.55000000000000004">
      <c r="A51" s="105">
        <v>46</v>
      </c>
      <c r="B51" s="106"/>
      <c r="C51" s="107" t="s">
        <v>141</v>
      </c>
      <c r="D51" s="108" t="s">
        <v>184</v>
      </c>
      <c r="E51" s="121" t="s">
        <v>185</v>
      </c>
      <c r="F51" s="107" t="s">
        <v>169</v>
      </c>
      <c r="G51" s="109">
        <v>80</v>
      </c>
      <c r="H51" s="110">
        <v>26</v>
      </c>
      <c r="I51" s="110">
        <v>0</v>
      </c>
      <c r="J51" s="111">
        <f t="shared" si="0"/>
        <v>80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80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2"/>
        <v>80</v>
      </c>
      <c r="U51" s="53"/>
      <c r="V51" t="s">
        <v>241</v>
      </c>
      <c r="W51" s="53"/>
      <c r="X51" s="118"/>
    </row>
    <row r="52" spans="1:24" ht="45.65" customHeight="1" x14ac:dyDescent="0.55000000000000004">
      <c r="A52" s="105">
        <v>47</v>
      </c>
      <c r="B52" s="106"/>
      <c r="C52" s="107" t="s">
        <v>142</v>
      </c>
      <c r="D52" s="108" t="s">
        <v>184</v>
      </c>
      <c r="E52" s="121" t="s">
        <v>185</v>
      </c>
      <c r="F52" s="107" t="s">
        <v>170</v>
      </c>
      <c r="G52" s="109">
        <v>150</v>
      </c>
      <c r="H52" s="110">
        <v>26</v>
      </c>
      <c r="I52" s="110">
        <v>0</v>
      </c>
      <c r="J52" s="111">
        <f t="shared" si="0"/>
        <v>150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150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2"/>
        <v>150</v>
      </c>
      <c r="U52" s="53"/>
      <c r="V52" t="s">
        <v>241</v>
      </c>
      <c r="W52" s="53"/>
      <c r="X52" s="118"/>
    </row>
    <row r="53" spans="1:24" ht="45.65" customHeight="1" x14ac:dyDescent="0.55000000000000004">
      <c r="A53" s="105">
        <v>48</v>
      </c>
      <c r="B53" s="106"/>
      <c r="C53" s="107" t="s">
        <v>143</v>
      </c>
      <c r="D53" s="108" t="s">
        <v>184</v>
      </c>
      <c r="E53" s="108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100</v>
      </c>
      <c r="P53" s="111">
        <v>0</v>
      </c>
      <c r="Q53" s="111">
        <v>42.307692307692307</v>
      </c>
      <c r="R53" s="111">
        <v>0</v>
      </c>
      <c r="S53" s="111">
        <v>0</v>
      </c>
      <c r="T53" s="112">
        <f t="shared" si="2"/>
        <v>57.692307692307693</v>
      </c>
      <c r="U53" s="53"/>
      <c r="V53" t="s">
        <v>241</v>
      </c>
      <c r="W53" s="53"/>
      <c r="X53" s="118"/>
    </row>
    <row r="54" spans="1:24" ht="45.65" customHeight="1" x14ac:dyDescent="0.55000000000000004">
      <c r="A54" s="105">
        <v>49</v>
      </c>
      <c r="B54" s="106"/>
      <c r="C54" s="107" t="s">
        <v>144</v>
      </c>
      <c r="D54" s="108" t="s">
        <v>177</v>
      </c>
      <c r="E54" s="108" t="s">
        <v>185</v>
      </c>
      <c r="F54" s="107" t="s">
        <v>171</v>
      </c>
      <c r="G54" s="109">
        <v>270</v>
      </c>
      <c r="H54" s="110">
        <v>26</v>
      </c>
      <c r="I54" s="110">
        <v>0</v>
      </c>
      <c r="J54" s="111">
        <f t="shared" si="0"/>
        <v>270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270</v>
      </c>
      <c r="P54" s="111">
        <v>0</v>
      </c>
      <c r="Q54" s="111">
        <v>31.153846153846153</v>
      </c>
      <c r="R54" s="111">
        <v>0</v>
      </c>
      <c r="S54" s="111">
        <v>0</v>
      </c>
      <c r="T54" s="112">
        <f t="shared" si="2"/>
        <v>238.84615384615384</v>
      </c>
      <c r="U54" s="53"/>
      <c r="V54" t="s">
        <v>241</v>
      </c>
      <c r="W54" s="53"/>
      <c r="X54" s="118"/>
    </row>
    <row r="55" spans="1:24" ht="45.65" customHeight="1" x14ac:dyDescent="0.55000000000000004">
      <c r="A55" s="105">
        <v>50</v>
      </c>
      <c r="B55" s="106" t="s">
        <v>237</v>
      </c>
      <c r="C55" s="107" t="s">
        <v>213</v>
      </c>
      <c r="D55" s="108"/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53">
        <v>0</v>
      </c>
      <c r="R55" s="111">
        <v>0</v>
      </c>
      <c r="S55" s="151">
        <v>176.3</v>
      </c>
      <c r="T55" s="112">
        <f t="shared" si="2"/>
        <v>423.7</v>
      </c>
      <c r="U55" s="53" t="s">
        <v>176</v>
      </c>
      <c r="V55" t="s">
        <v>197</v>
      </c>
      <c r="W55" s="53">
        <v>600</v>
      </c>
      <c r="X55" s="118">
        <v>-176.3</v>
      </c>
    </row>
    <row r="56" spans="1:24" ht="45.65" customHeight="1" x14ac:dyDescent="0.55000000000000004">
      <c r="A56" s="105">
        <v>51</v>
      </c>
      <c r="B56" s="106" t="s">
        <v>238</v>
      </c>
      <c r="C56" s="107" t="s">
        <v>214</v>
      </c>
      <c r="D56" s="108"/>
      <c r="E56" s="108" t="s">
        <v>185</v>
      </c>
      <c r="F56" s="107"/>
      <c r="G56" s="141">
        <v>422.65</v>
      </c>
      <c r="H56" s="110">
        <v>26</v>
      </c>
      <c r="I56" s="110">
        <v>0</v>
      </c>
      <c r="J56" s="111">
        <f t="shared" si="0"/>
        <v>422.64999999999992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422.64999999999992</v>
      </c>
      <c r="P56" s="111">
        <v>0</v>
      </c>
      <c r="Q56" s="111">
        <v>0</v>
      </c>
      <c r="R56" s="111">
        <v>0</v>
      </c>
      <c r="S56" s="111">
        <v>0</v>
      </c>
      <c r="T56" s="112">
        <f t="shared" si="2"/>
        <v>422.64999999999992</v>
      </c>
      <c r="U56" s="53"/>
      <c r="V56" t="s">
        <v>197</v>
      </c>
      <c r="W56" s="53"/>
      <c r="X56" s="118"/>
    </row>
    <row r="57" spans="1:24" ht="45.65" customHeight="1" x14ac:dyDescent="0.55000000000000004">
      <c r="A57" s="105"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53">
        <v>0</v>
      </c>
      <c r="R57" s="111">
        <v>0</v>
      </c>
      <c r="S57" s="151">
        <v>300</v>
      </c>
      <c r="T57" s="112">
        <f t="shared" si="2"/>
        <v>0</v>
      </c>
      <c r="U57" s="53" t="s">
        <v>176</v>
      </c>
      <c r="V57" t="s">
        <v>197</v>
      </c>
      <c r="W57" s="53">
        <v>300</v>
      </c>
      <c r="X57" s="118">
        <v>-300</v>
      </c>
    </row>
    <row r="58" spans="1:24" ht="45.65" customHeight="1" x14ac:dyDescent="0.55000000000000004">
      <c r="A58" s="105"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600</v>
      </c>
      <c r="T58" s="112">
        <f t="shared" si="2"/>
        <v>0</v>
      </c>
      <c r="U58" s="52" t="s">
        <v>176</v>
      </c>
      <c r="V58" t="s">
        <v>197</v>
      </c>
      <c r="W58" s="53">
        <v>600</v>
      </c>
      <c r="X58" s="118">
        <v>-600</v>
      </c>
    </row>
    <row r="59" spans="1:24" ht="45.65" customHeight="1" x14ac:dyDescent="0.55000000000000004">
      <c r="A59" s="105"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2"/>
        <v>0</v>
      </c>
      <c r="U59" s="51"/>
      <c r="W59" s="53"/>
      <c r="X59" s="118"/>
    </row>
    <row r="60" spans="1:24" ht="45.65" customHeight="1" x14ac:dyDescent="0.55000000000000004">
      <c r="A60" s="105"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2"/>
        <v>0</v>
      </c>
      <c r="U60" s="51"/>
      <c r="W60" s="53"/>
      <c r="X60" s="118"/>
    </row>
    <row r="61" spans="1:24" ht="45.65" customHeight="1" thickBot="1" x14ac:dyDescent="0.6">
      <c r="A61" s="142">
        <v>56</v>
      </c>
      <c r="B61" s="106"/>
      <c r="C61" s="144"/>
      <c r="D61" s="145"/>
      <c r="E61" s="145"/>
      <c r="F61" s="144"/>
      <c r="G61" s="146"/>
      <c r="H61" s="147">
        <v>26</v>
      </c>
      <c r="I61" s="147">
        <v>0</v>
      </c>
      <c r="J61" s="148">
        <f t="shared" si="0"/>
        <v>0</v>
      </c>
      <c r="K61" s="148">
        <v>0</v>
      </c>
      <c r="L61" s="148">
        <v>0</v>
      </c>
      <c r="M61" s="148">
        <v>0</v>
      </c>
      <c r="N61" s="148">
        <v>0</v>
      </c>
      <c r="O61" s="148">
        <f t="shared" si="1"/>
        <v>0</v>
      </c>
      <c r="P61" s="148">
        <v>0</v>
      </c>
      <c r="Q61" s="148">
        <v>0</v>
      </c>
      <c r="R61" s="148">
        <v>0</v>
      </c>
      <c r="S61" s="148">
        <v>0</v>
      </c>
      <c r="T61" s="149">
        <f t="shared" si="2"/>
        <v>0</v>
      </c>
      <c r="U61" s="54"/>
      <c r="W61" s="53"/>
      <c r="X61" s="118"/>
    </row>
    <row r="62" spans="1:24" ht="50.15" customHeight="1" thickBot="1" x14ac:dyDescent="0.45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>SUBTOTAL(9,J6:J61)</f>
        <v>15151.88</v>
      </c>
      <c r="K62" s="116">
        <f t="shared" ref="K62:T62" si="3">SUBTOTAL(9,K6:K61)</f>
        <v>0</v>
      </c>
      <c r="L62" s="116">
        <f t="shared" si="3"/>
        <v>0</v>
      </c>
      <c r="M62" s="116">
        <f t="shared" si="3"/>
        <v>0</v>
      </c>
      <c r="N62" s="116">
        <f t="shared" si="3"/>
        <v>300</v>
      </c>
      <c r="O62" s="116">
        <f t="shared" si="3"/>
        <v>15451.88</v>
      </c>
      <c r="P62" s="116">
        <f t="shared" si="3"/>
        <v>0</v>
      </c>
      <c r="Q62" s="116">
        <f t="shared" si="3"/>
        <v>85.551923076923075</v>
      </c>
      <c r="R62" s="116">
        <f t="shared" si="3"/>
        <v>150</v>
      </c>
      <c r="S62" s="152">
        <f t="shared" si="3"/>
        <v>1276.3</v>
      </c>
      <c r="T62" s="124">
        <f t="shared" si="3"/>
        <v>13940.028076923079</v>
      </c>
      <c r="U62" s="116"/>
      <c r="W62" s="116">
        <f t="shared" ref="W62" si="4">SUBTOTAL(9,W6:W61)</f>
        <v>2100</v>
      </c>
      <c r="X62" s="116">
        <f t="shared" ref="X62" si="5">SUBTOTAL(9,X6:X61)</f>
        <v>-1276.3</v>
      </c>
    </row>
    <row r="66" spans="15:15" x14ac:dyDescent="0.4">
      <c r="O66" s="123"/>
    </row>
  </sheetData>
  <autoFilter ref="A5:X61" xr:uid="{00000000-0001-0000-0300-000000000000}"/>
  <mergeCells count="17">
    <mergeCell ref="J4:O4"/>
    <mergeCell ref="P4:S4"/>
    <mergeCell ref="T4:T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U4:U5"/>
    <mergeCell ref="W4:W5"/>
    <mergeCell ref="I4:I5"/>
  </mergeCells>
  <conditionalFormatting sqref="C6:C61">
    <cfRule type="duplicateValues" dxfId="13" priority="824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E46D-AFE8-4B07-B419-CDD18D9E30C5}">
  <sheetPr>
    <pageSetUpPr fitToPage="1"/>
  </sheetPr>
  <dimension ref="A1:AC69"/>
  <sheetViews>
    <sheetView zoomScale="60" zoomScaleNormal="60" workbookViewId="0">
      <pane ySplit="5" topLeftCell="A14" activePane="bottomLeft" state="frozen"/>
      <selection activeCell="O61" sqref="O61:Z61"/>
      <selection pane="bottomLeft" activeCell="O61" sqref="O61:Z61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16.15234375" customWidth="1"/>
    <col min="11" max="11" width="17.15234375" customWidth="1"/>
    <col min="12" max="12" width="11" customWidth="1"/>
    <col min="13" max="13" width="14" customWidth="1"/>
    <col min="14" max="14" width="14.3046875" customWidth="1"/>
    <col min="15" max="15" width="15.15234375" customWidth="1"/>
    <col min="16" max="16" width="11.5351562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6" max="26" width="12.15234375" style="166" customWidth="1"/>
    <col min="27" max="27" width="14.3828125" customWidth="1"/>
  </cols>
  <sheetData>
    <row r="1" spans="1:27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7" ht="53.15" customHeight="1" thickBot="1" x14ac:dyDescent="0.45">
      <c r="A2" s="247" t="s">
        <v>243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7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7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  <c r="Z4" s="167"/>
    </row>
    <row r="5" spans="1:27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V5" s="160" t="s">
        <v>242</v>
      </c>
      <c r="W5" s="226"/>
      <c r="X5" s="226"/>
      <c r="Z5" s="167"/>
    </row>
    <row r="6" spans="1:27" ht="45.65" customHeight="1" x14ac:dyDescent="0.55000000000000004">
      <c r="A6" s="105">
        <v>1</v>
      </c>
      <c r="B6" s="106"/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4" si="0">G6/26*H6</f>
        <v>1000</v>
      </c>
      <c r="K6" s="111"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5" customHeight="1" x14ac:dyDescent="0.55000000000000004">
      <c r="A7" s="105">
        <v>2</v>
      </c>
      <c r="B7" s="106"/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4" si="1">J7+K7+L7+M7+N7</f>
        <v>150</v>
      </c>
      <c r="P7" s="111">
        <v>0</v>
      </c>
      <c r="Q7" s="111">
        <v>80.769000000000005</v>
      </c>
      <c r="R7" s="111">
        <v>0</v>
      </c>
      <c r="S7" s="111">
        <v>0</v>
      </c>
      <c r="T7" s="112">
        <f>O7-P7-Q7-R7-S7</f>
        <v>69.230999999999995</v>
      </c>
      <c r="U7" s="51"/>
      <c r="V7" t="s">
        <v>241</v>
      </c>
      <c r="W7" s="51"/>
      <c r="X7" s="51"/>
      <c r="Z7" s="168">
        <v>69.23</v>
      </c>
      <c r="AA7" s="123">
        <f t="shared" ref="AA7:AA58" si="2">T7-Z7</f>
        <v>9.9999999999056399E-4</v>
      </c>
    </row>
    <row r="8" spans="1:27" ht="45.65" customHeight="1" x14ac:dyDescent="0.55000000000000004">
      <c r="A8" s="105"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64" si="3">O8-P8-Q8-R8-S8</f>
        <v>410</v>
      </c>
      <c r="U8" s="52"/>
      <c r="V8" t="s">
        <v>197</v>
      </c>
      <c r="X8" s="52"/>
      <c r="Y8" t="s">
        <v>256</v>
      </c>
      <c r="Z8" s="168">
        <v>410</v>
      </c>
      <c r="AA8" s="123">
        <f t="shared" si="2"/>
        <v>0</v>
      </c>
    </row>
    <row r="9" spans="1:27" ht="45.65" customHeight="1" x14ac:dyDescent="0.55000000000000004">
      <c r="A9" s="105">
        <v>4</v>
      </c>
      <c r="B9" s="106"/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3"/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5" customHeight="1" x14ac:dyDescent="0.55000000000000004">
      <c r="A10" s="105">
        <v>5</v>
      </c>
      <c r="B10" s="106"/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5" customHeight="1" x14ac:dyDescent="0.55000000000000004">
      <c r="A11" s="105">
        <v>6</v>
      </c>
      <c r="B11" s="106"/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V11" t="s">
        <v>241</v>
      </c>
      <c r="W11" s="53"/>
      <c r="X11" s="53"/>
      <c r="Z11" s="168">
        <v>430</v>
      </c>
      <c r="AA11" s="123">
        <f t="shared" si="2"/>
        <v>0</v>
      </c>
    </row>
    <row r="12" spans="1:27" ht="45.65" customHeight="1" x14ac:dyDescent="0.55000000000000004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3"/>
        <v>189.99999999999997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5" customHeight="1" x14ac:dyDescent="0.55000000000000004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0</v>
      </c>
    </row>
    <row r="14" spans="1:27" ht="45.65" customHeight="1" x14ac:dyDescent="0.55000000000000004">
      <c r="A14" s="105">
        <v>9</v>
      </c>
      <c r="B14" s="106"/>
      <c r="C14" s="161" t="s">
        <v>104</v>
      </c>
      <c r="D14" s="162" t="s">
        <v>178</v>
      </c>
      <c r="E14" s="162" t="s">
        <v>185</v>
      </c>
      <c r="F14" s="161" t="s">
        <v>89</v>
      </c>
      <c r="G14" s="163">
        <v>480</v>
      </c>
      <c r="H14" s="164">
        <v>0</v>
      </c>
      <c r="I14" s="164"/>
      <c r="J14" s="126">
        <f t="shared" si="0"/>
        <v>0</v>
      </c>
      <c r="K14" s="126">
        <v>0</v>
      </c>
      <c r="L14" s="126">
        <v>0</v>
      </c>
      <c r="M14" s="126">
        <v>0</v>
      </c>
      <c r="N14" s="126">
        <v>0</v>
      </c>
      <c r="O14" s="126">
        <f t="shared" si="1"/>
        <v>0</v>
      </c>
      <c r="P14" s="126">
        <v>0</v>
      </c>
      <c r="Q14" s="126">
        <v>0</v>
      </c>
      <c r="R14" s="126">
        <v>0</v>
      </c>
      <c r="S14" s="126">
        <v>0</v>
      </c>
      <c r="T14" s="165">
        <f t="shared" si="3"/>
        <v>0</v>
      </c>
      <c r="U14" s="53"/>
      <c r="V14" t="s">
        <v>241</v>
      </c>
      <c r="W14" s="53"/>
      <c r="X14" s="53"/>
      <c r="Z14" s="168">
        <v>0</v>
      </c>
      <c r="AA14" s="123">
        <f t="shared" si="2"/>
        <v>0</v>
      </c>
    </row>
    <row r="15" spans="1:27" ht="45.65" customHeight="1" x14ac:dyDescent="0.55000000000000004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5" customHeight="1" x14ac:dyDescent="0.55000000000000004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5" customHeight="1" x14ac:dyDescent="0.55000000000000004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4.327</v>
      </c>
      <c r="R17" s="111">
        <v>50</v>
      </c>
      <c r="S17" s="111">
        <v>0</v>
      </c>
      <c r="T17" s="112">
        <f t="shared" si="3"/>
        <v>395.673</v>
      </c>
      <c r="U17" s="53"/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2.9999999999859028E-3</v>
      </c>
    </row>
    <row r="18" spans="1:29" ht="45.65" customHeight="1" x14ac:dyDescent="0.55000000000000004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5" customHeight="1" x14ac:dyDescent="0.55000000000000004">
      <c r="A19" s="105"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5" customHeight="1" x14ac:dyDescent="0.55000000000000004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3"/>
        <v>250</v>
      </c>
      <c r="U20" s="53"/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5" customHeight="1" x14ac:dyDescent="0.55000000000000004">
      <c r="A21" s="105">
        <v>16</v>
      </c>
      <c r="B21" s="106"/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5" customHeight="1" x14ac:dyDescent="0.55000000000000004">
      <c r="A22" s="105">
        <v>17</v>
      </c>
      <c r="B22" s="106"/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3"/>
        <v>400</v>
      </c>
      <c r="U22" s="53"/>
      <c r="V22" t="s">
        <v>241</v>
      </c>
      <c r="W22" s="53"/>
      <c r="X22" s="53"/>
      <c r="Z22" s="168">
        <v>400</v>
      </c>
      <c r="AA22" s="123">
        <f t="shared" si="2"/>
        <v>0</v>
      </c>
    </row>
    <row r="23" spans="1:29" ht="45.65" customHeight="1" x14ac:dyDescent="0.55000000000000004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3"/>
        <v>300</v>
      </c>
      <c r="U23" s="53"/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ht="45.65" customHeight="1" x14ac:dyDescent="0.55000000000000004">
      <c r="A24" s="105">
        <v>19</v>
      </c>
      <c r="B24" s="106"/>
      <c r="C24" s="120" t="s">
        <v>114</v>
      </c>
      <c r="D24" s="121" t="s">
        <v>180</v>
      </c>
      <c r="E24" s="121" t="s">
        <v>185</v>
      </c>
      <c r="F24" s="120" t="s">
        <v>157</v>
      </c>
      <c r="G24" s="106">
        <v>50</v>
      </c>
      <c r="H24" s="110">
        <v>26</v>
      </c>
      <c r="I24" s="110">
        <v>0</v>
      </c>
      <c r="J24" s="111">
        <f t="shared" si="0"/>
        <v>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50</v>
      </c>
      <c r="U24" s="53"/>
      <c r="V24" t="s">
        <v>241</v>
      </c>
      <c r="W24" s="53"/>
      <c r="X24" s="53"/>
      <c r="Z24" s="168">
        <v>50</v>
      </c>
      <c r="AA24" s="123">
        <f t="shared" si="2"/>
        <v>0</v>
      </c>
    </row>
    <row r="25" spans="1:29" ht="45.65" customHeight="1" x14ac:dyDescent="0.55000000000000004">
      <c r="A25" s="105">
        <v>20</v>
      </c>
      <c r="B25" s="106"/>
      <c r="C25" s="120" t="s">
        <v>115</v>
      </c>
      <c r="D25" s="121" t="s">
        <v>180</v>
      </c>
      <c r="E25" s="121" t="s">
        <v>185</v>
      </c>
      <c r="F25" s="120" t="s">
        <v>158</v>
      </c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2.8839999999999999</v>
      </c>
      <c r="R25" s="111">
        <v>0</v>
      </c>
      <c r="S25" s="111">
        <v>0</v>
      </c>
      <c r="T25" s="112">
        <f t="shared" si="3"/>
        <v>147.11600000000001</v>
      </c>
      <c r="U25" s="53"/>
      <c r="V25" t="s">
        <v>241</v>
      </c>
      <c r="W25" s="53"/>
      <c r="X25" s="53"/>
      <c r="Z25" s="168">
        <v>147.12</v>
      </c>
      <c r="AA25" s="123">
        <f t="shared" si="2"/>
        <v>-3.9999999999906777E-3</v>
      </c>
      <c r="AC25">
        <f>150-147.116</f>
        <v>2.8839999999999861</v>
      </c>
    </row>
    <row r="26" spans="1:29" ht="45.65" customHeight="1" x14ac:dyDescent="0.55000000000000004">
      <c r="A26" s="105">
        <v>21</v>
      </c>
      <c r="B26" s="106" t="s">
        <v>226</v>
      </c>
      <c r="C26" s="120" t="s">
        <v>206</v>
      </c>
      <c r="D26" s="121" t="s">
        <v>183</v>
      </c>
      <c r="E26" s="121" t="s">
        <v>185</v>
      </c>
      <c r="F26" s="120"/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150</v>
      </c>
      <c r="U26" s="53"/>
      <c r="V26" t="s">
        <v>197</v>
      </c>
      <c r="W26" s="53"/>
      <c r="X26" s="53"/>
      <c r="Y26" t="s">
        <v>256</v>
      </c>
      <c r="Z26" s="168">
        <v>150</v>
      </c>
      <c r="AA26" s="123">
        <f t="shared" si="2"/>
        <v>0</v>
      </c>
    </row>
    <row r="27" spans="1:29" ht="45.65" customHeight="1" x14ac:dyDescent="0.55000000000000004">
      <c r="A27" s="105">
        <v>22</v>
      </c>
      <c r="B27" s="106" t="s">
        <v>227</v>
      </c>
      <c r="C27" s="120" t="s">
        <v>207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150</v>
      </c>
      <c r="U27" s="53"/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0</v>
      </c>
    </row>
    <row r="28" spans="1:29" ht="45.65" customHeight="1" x14ac:dyDescent="0.55000000000000004">
      <c r="A28" s="105">
        <v>23</v>
      </c>
      <c r="B28" s="106"/>
      <c r="C28" s="120" t="s">
        <v>118</v>
      </c>
      <c r="D28" s="121" t="s">
        <v>181</v>
      </c>
      <c r="E28" s="121" t="s">
        <v>185</v>
      </c>
      <c r="F28" s="120"/>
      <c r="G28" s="106">
        <v>100</v>
      </c>
      <c r="H28" s="110">
        <v>26</v>
      </c>
      <c r="I28" s="110">
        <v>0</v>
      </c>
      <c r="J28" s="111">
        <f t="shared" si="0"/>
        <v>100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100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100</v>
      </c>
      <c r="U28" s="53"/>
      <c r="V28" t="s">
        <v>241</v>
      </c>
      <c r="W28" s="53"/>
      <c r="X28" s="53"/>
      <c r="Z28" s="168">
        <v>100</v>
      </c>
      <c r="AA28" s="123">
        <f t="shared" si="2"/>
        <v>0</v>
      </c>
    </row>
    <row r="29" spans="1:29" ht="45.65" customHeight="1" x14ac:dyDescent="0.55000000000000004">
      <c r="A29" s="105">
        <v>24</v>
      </c>
      <c r="B29" s="106"/>
      <c r="C29" s="120" t="s">
        <v>119</v>
      </c>
      <c r="D29" s="121" t="s">
        <v>183</v>
      </c>
      <c r="E29" s="121" t="s">
        <v>185</v>
      </c>
      <c r="F29" s="120" t="s">
        <v>93</v>
      </c>
      <c r="G29" s="106">
        <v>80</v>
      </c>
      <c r="H29" s="110">
        <v>26</v>
      </c>
      <c r="I29" s="110">
        <v>0</v>
      </c>
      <c r="J29" s="111">
        <f t="shared" si="0"/>
        <v>80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80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80</v>
      </c>
      <c r="U29" s="53"/>
      <c r="V29" t="s">
        <v>241</v>
      </c>
      <c r="W29" s="53"/>
      <c r="X29" s="53"/>
      <c r="Z29" s="168">
        <v>80</v>
      </c>
      <c r="AA29" s="123">
        <f t="shared" si="2"/>
        <v>0</v>
      </c>
    </row>
    <row r="30" spans="1:29" ht="45.65" customHeight="1" x14ac:dyDescent="0.55000000000000004">
      <c r="A30" s="105">
        <v>25</v>
      </c>
      <c r="B30" s="106"/>
      <c r="C30" s="120" t="s">
        <v>120</v>
      </c>
      <c r="D30" s="121" t="s">
        <v>177</v>
      </c>
      <c r="E30" s="121" t="s">
        <v>190</v>
      </c>
      <c r="F30" s="120"/>
      <c r="G30" s="106">
        <v>150</v>
      </c>
      <c r="H30" s="110">
        <v>26</v>
      </c>
      <c r="I30" s="110">
        <v>0</v>
      </c>
      <c r="J30" s="111">
        <f t="shared" si="0"/>
        <v>150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150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150</v>
      </c>
      <c r="U30" s="53"/>
      <c r="V30" t="s">
        <v>241</v>
      </c>
      <c r="W30" s="53"/>
      <c r="X30" s="53"/>
      <c r="Z30" s="168">
        <v>150</v>
      </c>
      <c r="AA30" s="123">
        <f t="shared" si="2"/>
        <v>0</v>
      </c>
    </row>
    <row r="31" spans="1:29" ht="45.65" customHeight="1" x14ac:dyDescent="0.55000000000000004">
      <c r="A31" s="105">
        <v>26</v>
      </c>
      <c r="B31" s="106" t="s">
        <v>228</v>
      </c>
      <c r="C31" s="120" t="s">
        <v>208</v>
      </c>
      <c r="D31" s="121" t="s">
        <v>183</v>
      </c>
      <c r="E31" s="121" t="s">
        <v>189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V31" t="s">
        <v>197</v>
      </c>
      <c r="W31" s="53"/>
      <c r="X31" s="53"/>
      <c r="Y31" t="s">
        <v>256</v>
      </c>
      <c r="Z31" s="168">
        <v>150</v>
      </c>
      <c r="AA31" s="123">
        <f t="shared" si="2"/>
        <v>0</v>
      </c>
    </row>
    <row r="32" spans="1:29" ht="45.65" customHeight="1" x14ac:dyDescent="0.55000000000000004">
      <c r="A32" s="105">
        <v>27</v>
      </c>
      <c r="B32" s="106"/>
      <c r="C32" s="120" t="s">
        <v>122</v>
      </c>
      <c r="D32" s="121" t="s">
        <v>181</v>
      </c>
      <c r="E32" s="121" t="s">
        <v>189</v>
      </c>
      <c r="F32" s="120"/>
      <c r="G32" s="106">
        <v>200</v>
      </c>
      <c r="H32" s="110">
        <v>26</v>
      </c>
      <c r="I32" s="110">
        <v>0</v>
      </c>
      <c r="J32" s="111">
        <f t="shared" si="0"/>
        <v>200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200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200</v>
      </c>
      <c r="U32" s="53"/>
      <c r="V32" t="s">
        <v>241</v>
      </c>
      <c r="W32" s="53"/>
      <c r="X32" s="53"/>
      <c r="Z32" s="168">
        <v>200</v>
      </c>
      <c r="AA32" s="123">
        <f t="shared" si="2"/>
        <v>0</v>
      </c>
    </row>
    <row r="33" spans="1:27" ht="45.65" customHeight="1" x14ac:dyDescent="0.55000000000000004">
      <c r="A33" s="105">
        <v>28</v>
      </c>
      <c r="B33" s="106"/>
      <c r="C33" s="120" t="s">
        <v>123</v>
      </c>
      <c r="D33" s="121" t="s">
        <v>181</v>
      </c>
      <c r="E33" s="121" t="s">
        <v>185</v>
      </c>
      <c r="F33" s="120"/>
      <c r="G33" s="106">
        <v>250</v>
      </c>
      <c r="H33" s="110">
        <v>26</v>
      </c>
      <c r="I33" s="110">
        <v>0</v>
      </c>
      <c r="J33" s="111">
        <f t="shared" si="0"/>
        <v>250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250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250</v>
      </c>
      <c r="U33" s="53"/>
      <c r="V33" t="s">
        <v>241</v>
      </c>
      <c r="W33" s="53"/>
      <c r="X33" s="118"/>
      <c r="Z33" s="168">
        <v>250</v>
      </c>
      <c r="AA33" s="123">
        <f t="shared" si="2"/>
        <v>0</v>
      </c>
    </row>
    <row r="34" spans="1:27" ht="45.65" customHeight="1" x14ac:dyDescent="0.55000000000000004">
      <c r="A34" s="105">
        <v>29</v>
      </c>
      <c r="B34" s="163" t="s">
        <v>229</v>
      </c>
      <c r="C34" s="161" t="s">
        <v>209</v>
      </c>
      <c r="D34" s="162" t="s">
        <v>177</v>
      </c>
      <c r="E34" s="162" t="s">
        <v>185</v>
      </c>
      <c r="F34" s="161" t="s">
        <v>159</v>
      </c>
      <c r="G34" s="163">
        <v>384.23</v>
      </c>
      <c r="H34" s="164">
        <v>0</v>
      </c>
      <c r="I34" s="164">
        <v>0</v>
      </c>
      <c r="J34" s="126">
        <f t="shared" si="0"/>
        <v>0</v>
      </c>
      <c r="K34" s="126">
        <v>0</v>
      </c>
      <c r="L34" s="126">
        <v>0</v>
      </c>
      <c r="M34" s="126">
        <v>0</v>
      </c>
      <c r="N34" s="126">
        <v>0</v>
      </c>
      <c r="O34" s="126">
        <f t="shared" si="1"/>
        <v>0</v>
      </c>
      <c r="P34" s="126">
        <v>0</v>
      </c>
      <c r="Q34" s="126">
        <v>0</v>
      </c>
      <c r="R34" s="126">
        <v>0</v>
      </c>
      <c r="S34" s="126">
        <v>0</v>
      </c>
      <c r="T34" s="165">
        <f t="shared" si="3"/>
        <v>0</v>
      </c>
      <c r="U34" s="53"/>
      <c r="V34" t="s">
        <v>197</v>
      </c>
      <c r="W34" s="53"/>
      <c r="X34" s="53"/>
      <c r="Y34" t="s">
        <v>256</v>
      </c>
      <c r="Z34" s="168">
        <v>0</v>
      </c>
      <c r="AA34" s="123">
        <f t="shared" si="2"/>
        <v>0</v>
      </c>
    </row>
    <row r="35" spans="1:27" ht="45.65" customHeight="1" x14ac:dyDescent="0.55000000000000004">
      <c r="A35" s="105">
        <v>30</v>
      </c>
      <c r="B35" s="106" t="s">
        <v>230</v>
      </c>
      <c r="C35" s="120" t="s">
        <v>125</v>
      </c>
      <c r="D35" s="121" t="s">
        <v>177</v>
      </c>
      <c r="E35" s="121" t="s">
        <v>185</v>
      </c>
      <c r="F35" s="120" t="s">
        <v>160</v>
      </c>
      <c r="G35" s="106">
        <v>270</v>
      </c>
      <c r="H35" s="110">
        <v>26</v>
      </c>
      <c r="I35" s="110">
        <v>0</v>
      </c>
      <c r="J35" s="111">
        <f t="shared" si="0"/>
        <v>270</v>
      </c>
      <c r="K35" s="111">
        <v>0</v>
      </c>
      <c r="L35" s="111">
        <v>0</v>
      </c>
      <c r="M35" s="111">
        <v>0</v>
      </c>
      <c r="N35" s="111">
        <v>0</v>
      </c>
      <c r="O35" s="111">
        <f t="shared" si="1"/>
        <v>270</v>
      </c>
      <c r="P35" s="111">
        <v>0</v>
      </c>
      <c r="Q35" s="111">
        <v>0</v>
      </c>
      <c r="R35" s="111">
        <v>0</v>
      </c>
      <c r="S35" s="111">
        <v>0</v>
      </c>
      <c r="T35" s="112">
        <f t="shared" si="3"/>
        <v>270</v>
      </c>
      <c r="U35" s="53"/>
      <c r="V35" t="s">
        <v>197</v>
      </c>
      <c r="W35" s="53"/>
      <c r="X35" s="53"/>
      <c r="Y35" t="s">
        <v>256</v>
      </c>
      <c r="Z35" s="168">
        <v>270</v>
      </c>
      <c r="AA35" s="123">
        <f t="shared" si="2"/>
        <v>0</v>
      </c>
    </row>
    <row r="36" spans="1:27" ht="45.65" customHeight="1" x14ac:dyDescent="0.55000000000000004">
      <c r="A36" s="105">
        <v>31</v>
      </c>
      <c r="B36" s="106"/>
      <c r="C36" s="120" t="s">
        <v>247</v>
      </c>
      <c r="D36" s="121" t="s">
        <v>178</v>
      </c>
      <c r="E36" s="121" t="s">
        <v>185</v>
      </c>
      <c r="F36" s="120"/>
      <c r="G36" s="106">
        <v>280</v>
      </c>
      <c r="H36" s="110">
        <v>26</v>
      </c>
      <c r="I36" s="110">
        <v>0</v>
      </c>
      <c r="J36" s="111">
        <f t="shared" si="0"/>
        <v>280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280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280</v>
      </c>
      <c r="U36" s="53"/>
      <c r="V36" t="s">
        <v>241</v>
      </c>
      <c r="W36" s="53"/>
      <c r="X36" s="53"/>
      <c r="Z36" s="168">
        <v>280</v>
      </c>
      <c r="AA36" s="123">
        <f t="shared" si="2"/>
        <v>0</v>
      </c>
    </row>
    <row r="37" spans="1:27" ht="45.65" customHeight="1" x14ac:dyDescent="0.55000000000000004">
      <c r="A37" s="105">
        <v>32</v>
      </c>
      <c r="B37" s="163"/>
      <c r="C37" s="161" t="s">
        <v>127</v>
      </c>
      <c r="D37" s="162" t="s">
        <v>177</v>
      </c>
      <c r="E37" s="162" t="s">
        <v>191</v>
      </c>
      <c r="F37" s="161" t="s">
        <v>161</v>
      </c>
      <c r="G37" s="163">
        <v>200</v>
      </c>
      <c r="H37" s="164">
        <v>0</v>
      </c>
      <c r="I37" s="164">
        <v>0</v>
      </c>
      <c r="J37" s="126">
        <f t="shared" si="0"/>
        <v>0</v>
      </c>
      <c r="K37" s="126">
        <v>0</v>
      </c>
      <c r="L37" s="126">
        <v>0</v>
      </c>
      <c r="M37" s="126">
        <v>0</v>
      </c>
      <c r="N37" s="126">
        <v>0</v>
      </c>
      <c r="O37" s="126">
        <f t="shared" si="1"/>
        <v>0</v>
      </c>
      <c r="P37" s="126">
        <v>0</v>
      </c>
      <c r="Q37" s="126">
        <v>0</v>
      </c>
      <c r="R37" s="126">
        <v>0</v>
      </c>
      <c r="S37" s="126">
        <v>0</v>
      </c>
      <c r="T37" s="165">
        <f t="shared" si="3"/>
        <v>0</v>
      </c>
      <c r="U37" s="53"/>
      <c r="V37" t="s">
        <v>241</v>
      </c>
      <c r="W37" s="53"/>
      <c r="X37" s="53"/>
      <c r="Z37" s="168">
        <v>0</v>
      </c>
      <c r="AA37" s="123">
        <f t="shared" si="2"/>
        <v>0</v>
      </c>
    </row>
    <row r="38" spans="1:27" ht="45.65" customHeight="1" x14ac:dyDescent="0.55000000000000004">
      <c r="A38" s="105">
        <v>33</v>
      </c>
      <c r="B38" s="106" t="s">
        <v>231</v>
      </c>
      <c r="C38" s="120" t="s">
        <v>211</v>
      </c>
      <c r="D38" s="121" t="s">
        <v>177</v>
      </c>
      <c r="E38" s="121" t="s">
        <v>185</v>
      </c>
      <c r="F38" s="120"/>
      <c r="G38" s="106">
        <v>600</v>
      </c>
      <c r="H38" s="110">
        <v>26</v>
      </c>
      <c r="I38" s="110">
        <v>0</v>
      </c>
      <c r="J38" s="111">
        <f t="shared" si="0"/>
        <v>600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600</v>
      </c>
      <c r="P38" s="111">
        <v>0</v>
      </c>
      <c r="Q38" s="153">
        <v>0</v>
      </c>
      <c r="R38" s="111">
        <v>0</v>
      </c>
      <c r="S38" s="151">
        <v>200</v>
      </c>
      <c r="T38" s="112">
        <f t="shared" si="3"/>
        <v>400</v>
      </c>
      <c r="U38" s="53" t="s">
        <v>176</v>
      </c>
      <c r="V38" t="s">
        <v>197</v>
      </c>
      <c r="W38" s="53">
        <v>600</v>
      </c>
      <c r="X38" s="118">
        <v>-200</v>
      </c>
      <c r="Y38" t="s">
        <v>256</v>
      </c>
      <c r="Z38" s="168">
        <v>600</v>
      </c>
      <c r="AA38" s="123">
        <f t="shared" si="2"/>
        <v>-200</v>
      </c>
    </row>
    <row r="39" spans="1:27" ht="45.65" customHeight="1" x14ac:dyDescent="0.55000000000000004">
      <c r="A39" s="105">
        <v>34</v>
      </c>
      <c r="B39" s="106" t="s">
        <v>232</v>
      </c>
      <c r="C39" s="120" t="s">
        <v>248</v>
      </c>
      <c r="D39" s="121" t="s">
        <v>177</v>
      </c>
      <c r="E39" s="121" t="s">
        <v>191</v>
      </c>
      <c r="F39" s="120" t="s">
        <v>162</v>
      </c>
      <c r="G39" s="106">
        <v>450</v>
      </c>
      <c r="H39" s="110">
        <v>6</v>
      </c>
      <c r="I39" s="110">
        <v>0</v>
      </c>
      <c r="J39" s="111">
        <f t="shared" si="0"/>
        <v>103.84615384615384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103.84615384615384</v>
      </c>
      <c r="P39" s="111">
        <v>0</v>
      </c>
      <c r="Q39" s="111">
        <v>0</v>
      </c>
      <c r="R39" s="111">
        <v>0</v>
      </c>
      <c r="S39" s="111">
        <v>0</v>
      </c>
      <c r="T39" s="112">
        <f t="shared" si="3"/>
        <v>103.84615384615384</v>
      </c>
      <c r="U39" s="53"/>
      <c r="V39" t="s">
        <v>197</v>
      </c>
      <c r="W39" s="53"/>
      <c r="X39" s="53"/>
      <c r="Y39" t="s">
        <v>256</v>
      </c>
      <c r="Z39" s="168">
        <v>103.85</v>
      </c>
      <c r="AA39" s="123">
        <f t="shared" si="2"/>
        <v>-3.8461538461547207E-3</v>
      </c>
    </row>
    <row r="40" spans="1:27" ht="45.65" customHeight="1" x14ac:dyDescent="0.55000000000000004">
      <c r="A40" s="105">
        <v>35</v>
      </c>
      <c r="B40" s="106" t="s">
        <v>233</v>
      </c>
      <c r="C40" s="120" t="s">
        <v>130</v>
      </c>
      <c r="D40" s="121" t="s">
        <v>177</v>
      </c>
      <c r="E40" s="121" t="s">
        <v>191</v>
      </c>
      <c r="F40" s="120" t="s">
        <v>172</v>
      </c>
      <c r="G40" s="106">
        <v>550</v>
      </c>
      <c r="H40" s="110">
        <v>26</v>
      </c>
      <c r="I40" s="110">
        <v>0</v>
      </c>
      <c r="J40" s="111">
        <f t="shared" si="0"/>
        <v>550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550</v>
      </c>
      <c r="P40" s="111">
        <v>0</v>
      </c>
      <c r="Q40" s="111">
        <v>0</v>
      </c>
      <c r="R40" s="111">
        <v>0</v>
      </c>
      <c r="S40" s="111">
        <v>0</v>
      </c>
      <c r="T40" s="112">
        <f t="shared" si="3"/>
        <v>550</v>
      </c>
      <c r="U40" s="53"/>
      <c r="V40" t="s">
        <v>197</v>
      </c>
      <c r="W40" s="53"/>
      <c r="X40" s="53"/>
      <c r="Y40" t="s">
        <v>256</v>
      </c>
      <c r="Z40" s="168">
        <v>550</v>
      </c>
      <c r="AA40" s="123">
        <f t="shared" si="2"/>
        <v>0</v>
      </c>
    </row>
    <row r="41" spans="1:27" ht="45.65" customHeight="1" x14ac:dyDescent="0.55000000000000004">
      <c r="A41" s="105">
        <v>36</v>
      </c>
      <c r="B41" s="106" t="s">
        <v>234</v>
      </c>
      <c r="C41" s="120" t="s">
        <v>131</v>
      </c>
      <c r="D41" s="121" t="s">
        <v>177</v>
      </c>
      <c r="E41" s="121" t="s">
        <v>191</v>
      </c>
      <c r="F41" s="120" t="s">
        <v>163</v>
      </c>
      <c r="G41" s="106">
        <v>450</v>
      </c>
      <c r="H41" s="110">
        <v>26</v>
      </c>
      <c r="I41" s="110">
        <v>0</v>
      </c>
      <c r="J41" s="111">
        <f t="shared" si="0"/>
        <v>450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450</v>
      </c>
      <c r="P41" s="111">
        <v>0</v>
      </c>
      <c r="Q41" s="111">
        <v>1.923</v>
      </c>
      <c r="R41" s="111">
        <v>0</v>
      </c>
      <c r="S41" s="111">
        <v>0</v>
      </c>
      <c r="T41" s="112">
        <f t="shared" si="3"/>
        <v>448.077</v>
      </c>
      <c r="U41" s="53"/>
      <c r="V41" t="s">
        <v>197</v>
      </c>
      <c r="W41" s="53"/>
      <c r="X41" s="53"/>
      <c r="Y41" t="s">
        <v>256</v>
      </c>
      <c r="Z41" s="168">
        <v>448.08</v>
      </c>
      <c r="AA41" s="123">
        <f t="shared" si="2"/>
        <v>-2.9999999999859028E-3</v>
      </c>
    </row>
    <row r="42" spans="1:27" ht="45.65" customHeight="1" x14ac:dyDescent="0.55000000000000004">
      <c r="A42" s="105">
        <v>37</v>
      </c>
      <c r="B42" s="106" t="s">
        <v>235</v>
      </c>
      <c r="C42" s="120" t="s">
        <v>132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0</v>
      </c>
      <c r="R42" s="111">
        <v>0</v>
      </c>
      <c r="S42" s="111">
        <v>0</v>
      </c>
      <c r="T42" s="112">
        <f t="shared" si="3"/>
        <v>450</v>
      </c>
      <c r="U42" s="53"/>
      <c r="V42" t="s">
        <v>197</v>
      </c>
      <c r="W42" s="53"/>
      <c r="X42" s="53"/>
      <c r="Y42" t="s">
        <v>256</v>
      </c>
      <c r="Z42" s="168">
        <v>450</v>
      </c>
      <c r="AA42" s="123">
        <f t="shared" si="2"/>
        <v>0</v>
      </c>
    </row>
    <row r="43" spans="1:27" ht="45.65" customHeight="1" x14ac:dyDescent="0.55000000000000004">
      <c r="A43" s="105">
        <v>38</v>
      </c>
      <c r="B43" s="106" t="s">
        <v>236</v>
      </c>
      <c r="C43" s="120" t="s">
        <v>133</v>
      </c>
      <c r="D43" s="121" t="s">
        <v>178</v>
      </c>
      <c r="E43" s="121" t="s">
        <v>185</v>
      </c>
      <c r="F43" s="120" t="s">
        <v>164</v>
      </c>
      <c r="G43" s="106">
        <v>260</v>
      </c>
      <c r="H43" s="110">
        <v>26</v>
      </c>
      <c r="I43" s="110">
        <v>0</v>
      </c>
      <c r="J43" s="111">
        <f t="shared" si="0"/>
        <v>260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260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260</v>
      </c>
      <c r="U43" s="53"/>
      <c r="V43" t="s">
        <v>197</v>
      </c>
      <c r="W43" s="53"/>
      <c r="X43" s="53"/>
      <c r="Y43" t="s">
        <v>256</v>
      </c>
      <c r="Z43" s="168">
        <v>260</v>
      </c>
      <c r="AA43" s="123">
        <f t="shared" si="2"/>
        <v>0</v>
      </c>
    </row>
    <row r="44" spans="1:27" ht="45.65" customHeight="1" x14ac:dyDescent="0.55000000000000004">
      <c r="A44" s="105">
        <v>39</v>
      </c>
      <c r="B44" s="163"/>
      <c r="C44" s="161" t="s">
        <v>134</v>
      </c>
      <c r="D44" s="162" t="s">
        <v>177</v>
      </c>
      <c r="E44" s="162" t="s">
        <v>185</v>
      </c>
      <c r="F44" s="161" t="s">
        <v>89</v>
      </c>
      <c r="G44" s="163">
        <v>120</v>
      </c>
      <c r="H44" s="164">
        <v>0</v>
      </c>
      <c r="I44" s="164">
        <v>0</v>
      </c>
      <c r="J44" s="126">
        <f t="shared" si="0"/>
        <v>0</v>
      </c>
      <c r="K44" s="126">
        <v>0</v>
      </c>
      <c r="L44" s="126">
        <v>0</v>
      </c>
      <c r="M44" s="126">
        <v>0</v>
      </c>
      <c r="N44" s="126">
        <v>0</v>
      </c>
      <c r="O44" s="126">
        <f t="shared" si="1"/>
        <v>0</v>
      </c>
      <c r="P44" s="126">
        <v>0</v>
      </c>
      <c r="Q44" s="126">
        <v>0</v>
      </c>
      <c r="R44" s="126">
        <v>0</v>
      </c>
      <c r="S44" s="126">
        <v>0</v>
      </c>
      <c r="T44" s="165">
        <f t="shared" si="3"/>
        <v>0</v>
      </c>
      <c r="U44" s="53"/>
      <c r="V44" t="s">
        <v>241</v>
      </c>
      <c r="W44" s="53"/>
      <c r="X44" s="53"/>
      <c r="Z44" s="168">
        <v>76.92</v>
      </c>
      <c r="AA44" s="123">
        <f t="shared" si="2"/>
        <v>-76.92</v>
      </c>
    </row>
    <row r="45" spans="1:27" ht="45.65" customHeight="1" x14ac:dyDescent="0.55000000000000004">
      <c r="A45" s="105">
        <v>40</v>
      </c>
      <c r="B45" s="113"/>
      <c r="C45" s="122" t="s">
        <v>249</v>
      </c>
      <c r="D45" s="121" t="s">
        <v>177</v>
      </c>
      <c r="E45" s="121" t="s">
        <v>185</v>
      </c>
      <c r="F45" s="122"/>
      <c r="G45" s="106">
        <v>80</v>
      </c>
      <c r="H45" s="110">
        <v>26</v>
      </c>
      <c r="I45" s="110">
        <v>0</v>
      </c>
      <c r="J45" s="111">
        <f t="shared" ref="J45" si="4">G45/26*H45</f>
        <v>80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ref="O45" si="5">J45+K45+L45+M45+N45</f>
        <v>80</v>
      </c>
      <c r="P45" s="111">
        <v>0</v>
      </c>
      <c r="Q45" s="111">
        <v>3.077</v>
      </c>
      <c r="R45" s="111">
        <v>0</v>
      </c>
      <c r="S45" s="111">
        <v>0</v>
      </c>
      <c r="T45" s="112">
        <f t="shared" ref="T45" si="6">O45-P45-Q45-R45-S45</f>
        <v>76.923000000000002</v>
      </c>
      <c r="U45" s="53"/>
      <c r="W45" s="53"/>
      <c r="X45" s="53"/>
      <c r="Z45" s="168">
        <v>120</v>
      </c>
      <c r="AA45" s="123">
        <f t="shared" si="2"/>
        <v>-43.076999999999998</v>
      </c>
    </row>
    <row r="46" spans="1:27" ht="45.65" customHeight="1" x14ac:dyDescent="0.55000000000000004">
      <c r="A46" s="105">
        <v>41</v>
      </c>
      <c r="B46" s="106"/>
      <c r="C46" s="120" t="s">
        <v>135</v>
      </c>
      <c r="D46" s="121" t="s">
        <v>184</v>
      </c>
      <c r="E46" s="121" t="s">
        <v>185</v>
      </c>
      <c r="F46" s="120" t="s">
        <v>165</v>
      </c>
      <c r="G46" s="106">
        <v>120</v>
      </c>
      <c r="H46" s="110">
        <v>26</v>
      </c>
      <c r="I46" s="110">
        <v>0</v>
      </c>
      <c r="J46" s="111">
        <f t="shared" si="0"/>
        <v>119.99999999999999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119.99999999999999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119.99999999999999</v>
      </c>
      <c r="U46" s="53"/>
      <c r="V46" t="s">
        <v>241</v>
      </c>
      <c r="W46" s="53"/>
      <c r="X46" s="118"/>
      <c r="Z46" s="168">
        <v>80</v>
      </c>
      <c r="AA46" s="123">
        <f t="shared" si="2"/>
        <v>39.999999999999986</v>
      </c>
    </row>
    <row r="47" spans="1:27" ht="45.65" customHeight="1" x14ac:dyDescent="0.55000000000000004">
      <c r="A47" s="105">
        <v>42</v>
      </c>
      <c r="B47" s="106"/>
      <c r="C47" s="120" t="s">
        <v>250</v>
      </c>
      <c r="D47" s="121" t="s">
        <v>184</v>
      </c>
      <c r="E47" s="121" t="s">
        <v>185</v>
      </c>
      <c r="F47" s="120" t="s">
        <v>166</v>
      </c>
      <c r="G47" s="106">
        <v>80</v>
      </c>
      <c r="H47" s="110">
        <v>26</v>
      </c>
      <c r="I47" s="110">
        <v>0</v>
      </c>
      <c r="J47" s="111">
        <f t="shared" si="0"/>
        <v>80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80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3"/>
        <v>80</v>
      </c>
      <c r="U47" s="53"/>
      <c r="V47" t="s">
        <v>241</v>
      </c>
      <c r="W47" s="53"/>
      <c r="X47" s="118"/>
      <c r="Z47" s="168">
        <v>240</v>
      </c>
      <c r="AA47" s="123">
        <f t="shared" si="2"/>
        <v>-160</v>
      </c>
    </row>
    <row r="48" spans="1:27" ht="45.65" customHeight="1" x14ac:dyDescent="0.55000000000000004">
      <c r="A48" s="105">
        <v>43</v>
      </c>
      <c r="B48" s="106"/>
      <c r="C48" s="120" t="s">
        <v>137</v>
      </c>
      <c r="D48" s="121" t="s">
        <v>184</v>
      </c>
      <c r="E48" s="121" t="s">
        <v>185</v>
      </c>
      <c r="F48" s="120" t="s">
        <v>165</v>
      </c>
      <c r="G48" s="106">
        <v>240</v>
      </c>
      <c r="H48" s="110">
        <v>26</v>
      </c>
      <c r="I48" s="110">
        <v>0</v>
      </c>
      <c r="J48" s="111">
        <f t="shared" si="0"/>
        <v>239.99999999999997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239.99999999999997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239.99999999999997</v>
      </c>
      <c r="U48" s="53"/>
      <c r="V48" t="s">
        <v>241</v>
      </c>
      <c r="W48" s="53"/>
      <c r="X48" s="118"/>
      <c r="Z48" s="168">
        <v>120</v>
      </c>
      <c r="AA48" s="123">
        <f t="shared" si="2"/>
        <v>119.99999999999997</v>
      </c>
    </row>
    <row r="49" spans="1:27" ht="45.65" customHeight="1" x14ac:dyDescent="0.55000000000000004">
      <c r="A49" s="105">
        <v>44</v>
      </c>
      <c r="B49" s="106"/>
      <c r="C49" s="120" t="s">
        <v>138</v>
      </c>
      <c r="D49" s="121" t="s">
        <v>184</v>
      </c>
      <c r="E49" s="121" t="s">
        <v>185</v>
      </c>
      <c r="F49" s="120" t="s">
        <v>165</v>
      </c>
      <c r="G49" s="106">
        <v>120</v>
      </c>
      <c r="H49" s="110">
        <v>26</v>
      </c>
      <c r="I49" s="110">
        <v>0</v>
      </c>
      <c r="J49" s="111">
        <f t="shared" si="0"/>
        <v>119.99999999999999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119.99999999999999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119.99999999999999</v>
      </c>
      <c r="U49" s="53"/>
      <c r="V49" t="s">
        <v>241</v>
      </c>
      <c r="W49" s="53"/>
      <c r="X49" s="118"/>
      <c r="Z49" s="168">
        <v>100</v>
      </c>
      <c r="AA49" s="123">
        <f t="shared" si="2"/>
        <v>19.999999999999986</v>
      </c>
    </row>
    <row r="50" spans="1:27" ht="45.65" customHeight="1" thickBot="1" x14ac:dyDescent="0.6">
      <c r="A50" s="105">
        <v>45</v>
      </c>
      <c r="B50" s="106"/>
      <c r="C50" s="129" t="s">
        <v>139</v>
      </c>
      <c r="D50" s="130" t="s">
        <v>184</v>
      </c>
      <c r="E50" s="121" t="s">
        <v>185</v>
      </c>
      <c r="F50" s="129" t="s">
        <v>167</v>
      </c>
      <c r="G50" s="128">
        <v>100</v>
      </c>
      <c r="H50" s="131">
        <v>26</v>
      </c>
      <c r="I50" s="131">
        <v>0</v>
      </c>
      <c r="J50" s="132">
        <f t="shared" si="0"/>
        <v>100</v>
      </c>
      <c r="K50" s="132">
        <v>0</v>
      </c>
      <c r="L50" s="132">
        <v>0</v>
      </c>
      <c r="M50" s="132">
        <v>0</v>
      </c>
      <c r="N50" s="132">
        <v>0</v>
      </c>
      <c r="O50" s="132">
        <f t="shared" si="1"/>
        <v>100</v>
      </c>
      <c r="P50" s="132">
        <v>0</v>
      </c>
      <c r="Q50" s="132">
        <v>0</v>
      </c>
      <c r="R50" s="132">
        <v>0</v>
      </c>
      <c r="S50" s="132">
        <v>0</v>
      </c>
      <c r="T50" s="133">
        <f t="shared" si="3"/>
        <v>100</v>
      </c>
      <c r="U50" s="53"/>
      <c r="V50" t="s">
        <v>241</v>
      </c>
      <c r="W50" s="53"/>
      <c r="X50" s="118"/>
      <c r="Z50" s="168">
        <v>250</v>
      </c>
      <c r="AA50" s="123">
        <f t="shared" si="2"/>
        <v>-150</v>
      </c>
    </row>
    <row r="51" spans="1:27" ht="45.65" customHeight="1" x14ac:dyDescent="0.55000000000000004">
      <c r="A51" s="105">
        <v>46</v>
      </c>
      <c r="B51" s="106"/>
      <c r="C51" s="136" t="s">
        <v>140</v>
      </c>
      <c r="D51" s="137" t="s">
        <v>180</v>
      </c>
      <c r="E51" s="121" t="s">
        <v>185</v>
      </c>
      <c r="F51" s="136" t="s">
        <v>168</v>
      </c>
      <c r="G51" s="135">
        <v>250</v>
      </c>
      <c r="H51" s="138">
        <v>26</v>
      </c>
      <c r="I51" s="138">
        <v>0</v>
      </c>
      <c r="J51" s="139">
        <f t="shared" si="0"/>
        <v>250</v>
      </c>
      <c r="K51" s="139">
        <v>0</v>
      </c>
      <c r="L51" s="139">
        <v>0</v>
      </c>
      <c r="M51" s="139">
        <v>0</v>
      </c>
      <c r="N51" s="139">
        <v>0</v>
      </c>
      <c r="O51" s="139">
        <f t="shared" si="1"/>
        <v>250</v>
      </c>
      <c r="P51" s="139">
        <v>0</v>
      </c>
      <c r="Q51" s="139">
        <v>0</v>
      </c>
      <c r="R51" s="139">
        <v>0</v>
      </c>
      <c r="S51" s="139">
        <v>0</v>
      </c>
      <c r="T51" s="140">
        <f t="shared" si="3"/>
        <v>250</v>
      </c>
      <c r="U51" s="53"/>
      <c r="V51" t="s">
        <v>241</v>
      </c>
      <c r="W51" s="53"/>
      <c r="X51" s="118"/>
      <c r="Z51" s="168">
        <v>120</v>
      </c>
      <c r="AA51" s="123">
        <f t="shared" si="2"/>
        <v>130</v>
      </c>
    </row>
    <row r="52" spans="1:27" ht="45.65" customHeight="1" x14ac:dyDescent="0.55000000000000004">
      <c r="A52" s="105">
        <v>47</v>
      </c>
      <c r="B52" s="106"/>
      <c r="C52" s="107" t="s">
        <v>141</v>
      </c>
      <c r="D52" s="108" t="s">
        <v>184</v>
      </c>
      <c r="E52" s="121" t="s">
        <v>185</v>
      </c>
      <c r="F52" s="107" t="s">
        <v>169</v>
      </c>
      <c r="G52" s="109">
        <v>120</v>
      </c>
      <c r="H52" s="110">
        <v>26</v>
      </c>
      <c r="I52" s="110">
        <v>0</v>
      </c>
      <c r="J52" s="111">
        <f t="shared" si="0"/>
        <v>119.99999999999999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119.99999999999999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119.99999999999999</v>
      </c>
      <c r="U52" s="53"/>
      <c r="V52" t="s">
        <v>241</v>
      </c>
      <c r="W52" s="53"/>
      <c r="X52" s="118"/>
      <c r="Z52" s="168">
        <v>150</v>
      </c>
      <c r="AA52" s="123">
        <f t="shared" si="2"/>
        <v>-30.000000000000014</v>
      </c>
    </row>
    <row r="53" spans="1:27" ht="45.65" customHeight="1" x14ac:dyDescent="0.55000000000000004">
      <c r="A53" s="105">
        <v>48</v>
      </c>
      <c r="B53" s="106"/>
      <c r="C53" s="107" t="s">
        <v>142</v>
      </c>
      <c r="D53" s="108" t="s">
        <v>184</v>
      </c>
      <c r="E53" s="121" t="s">
        <v>185</v>
      </c>
      <c r="F53" s="107" t="s">
        <v>170</v>
      </c>
      <c r="G53" s="109">
        <v>150</v>
      </c>
      <c r="H53" s="110">
        <v>26</v>
      </c>
      <c r="I53" s="110">
        <v>0</v>
      </c>
      <c r="J53" s="111">
        <f t="shared" si="0"/>
        <v>150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150</v>
      </c>
      <c r="U53" s="53"/>
      <c r="V53" t="s">
        <v>241</v>
      </c>
      <c r="W53" s="53"/>
      <c r="X53" s="118"/>
      <c r="Z53" s="168">
        <v>100</v>
      </c>
      <c r="AA53" s="123">
        <f t="shared" si="2"/>
        <v>50</v>
      </c>
    </row>
    <row r="54" spans="1:27" ht="45.65" customHeight="1" x14ac:dyDescent="0.55000000000000004">
      <c r="A54" s="105">
        <v>49</v>
      </c>
      <c r="B54" s="106"/>
      <c r="C54" s="107" t="s">
        <v>251</v>
      </c>
      <c r="D54" s="108" t="s">
        <v>184</v>
      </c>
      <c r="E54" s="108" t="s">
        <v>185</v>
      </c>
      <c r="F54" s="107" t="s">
        <v>169</v>
      </c>
      <c r="G54" s="109">
        <v>100</v>
      </c>
      <c r="H54" s="110">
        <v>26</v>
      </c>
      <c r="I54" s="110">
        <v>0</v>
      </c>
      <c r="J54" s="111">
        <f t="shared" si="0"/>
        <v>100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100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3"/>
        <v>100</v>
      </c>
      <c r="U54" s="53"/>
      <c r="V54" t="s">
        <v>241</v>
      </c>
      <c r="W54" s="53"/>
      <c r="X54" s="118"/>
      <c r="Z54" s="168">
        <v>238.85</v>
      </c>
      <c r="AA54" s="123">
        <f t="shared" si="2"/>
        <v>-138.85</v>
      </c>
    </row>
    <row r="55" spans="1:27" ht="45.65" customHeight="1" x14ac:dyDescent="0.55000000000000004">
      <c r="A55" s="105">
        <v>50</v>
      </c>
      <c r="B55" s="106"/>
      <c r="C55" s="107" t="s">
        <v>252</v>
      </c>
      <c r="D55" s="108" t="s">
        <v>177</v>
      </c>
      <c r="E55" s="108" t="s">
        <v>185</v>
      </c>
      <c r="F55" s="107"/>
      <c r="G55" s="109">
        <v>270</v>
      </c>
      <c r="H55" s="110">
        <v>26</v>
      </c>
      <c r="I55" s="110">
        <v>0</v>
      </c>
      <c r="J55" s="111">
        <f>G55/26*H55</f>
        <v>270</v>
      </c>
      <c r="K55" s="111">
        <v>0</v>
      </c>
      <c r="L55" s="111">
        <v>0</v>
      </c>
      <c r="M55" s="111">
        <v>0</v>
      </c>
      <c r="N55" s="111">
        <v>0</v>
      </c>
      <c r="O55" s="111">
        <f>J55+K55+L55+M55+N55</f>
        <v>270</v>
      </c>
      <c r="P55" s="111">
        <v>0</v>
      </c>
      <c r="Q55" s="111">
        <v>31.153999999999996</v>
      </c>
      <c r="R55" s="111">
        <v>0</v>
      </c>
      <c r="S55" s="111">
        <v>0</v>
      </c>
      <c r="T55" s="112">
        <f>O55-P55-Q55-R55-S55</f>
        <v>238.846</v>
      </c>
      <c r="U55" s="53"/>
      <c r="V55" t="s">
        <v>241</v>
      </c>
      <c r="W55" s="53"/>
      <c r="X55" s="118"/>
      <c r="Z55" s="168">
        <v>500</v>
      </c>
      <c r="AA55" s="123">
        <f t="shared" si="2"/>
        <v>-261.154</v>
      </c>
    </row>
    <row r="56" spans="1:27" ht="45.65" customHeight="1" x14ac:dyDescent="0.55000000000000004">
      <c r="A56" s="105">
        <v>51</v>
      </c>
      <c r="B56" s="106" t="s">
        <v>255</v>
      </c>
      <c r="C56" s="107" t="s">
        <v>253</v>
      </c>
      <c r="D56" s="108" t="s">
        <v>178</v>
      </c>
      <c r="E56" s="108" t="s">
        <v>185</v>
      </c>
      <c r="F56" s="107"/>
      <c r="G56" s="109">
        <v>500</v>
      </c>
      <c r="H56" s="110">
        <v>26</v>
      </c>
      <c r="I56" s="110">
        <v>0</v>
      </c>
      <c r="J56" s="111">
        <f t="shared" ref="J56:J57" si="7">G56/26*H56</f>
        <v>500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ref="O56:O57" si="8">J56+K56+L56+M56+N56</f>
        <v>500</v>
      </c>
      <c r="P56" s="111">
        <v>0</v>
      </c>
      <c r="Q56" s="111">
        <v>0</v>
      </c>
      <c r="R56" s="111">
        <v>0</v>
      </c>
      <c r="S56" s="111">
        <v>0</v>
      </c>
      <c r="T56" s="112">
        <f>O56-P56-Q56-R56-S56</f>
        <v>500</v>
      </c>
      <c r="U56" s="53"/>
      <c r="W56" s="53"/>
      <c r="X56" s="118"/>
      <c r="Y56" t="s">
        <v>256</v>
      </c>
      <c r="Z56" s="168">
        <v>350</v>
      </c>
      <c r="AA56" s="123">
        <f t="shared" si="2"/>
        <v>150</v>
      </c>
    </row>
    <row r="57" spans="1:27" ht="45.65" customHeight="1" x14ac:dyDescent="0.55000000000000004">
      <c r="A57" s="105">
        <v>52</v>
      </c>
      <c r="B57" s="106"/>
      <c r="C57" s="107" t="s">
        <v>254</v>
      </c>
      <c r="D57" s="108" t="s">
        <v>178</v>
      </c>
      <c r="E57" s="108" t="s">
        <v>185</v>
      </c>
      <c r="F57" s="107"/>
      <c r="G57" s="109">
        <v>350</v>
      </c>
      <c r="H57" s="110">
        <v>26</v>
      </c>
      <c r="I57" s="110">
        <v>0</v>
      </c>
      <c r="J57" s="111">
        <f t="shared" si="7"/>
        <v>350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8"/>
        <v>350</v>
      </c>
      <c r="P57" s="111">
        <v>0</v>
      </c>
      <c r="Q57" s="111">
        <v>0</v>
      </c>
      <c r="R57" s="111">
        <v>0</v>
      </c>
      <c r="S57" s="111">
        <v>0</v>
      </c>
      <c r="T57" s="112">
        <f t="shared" si="3"/>
        <v>350</v>
      </c>
      <c r="U57" s="53"/>
      <c r="W57" s="53"/>
      <c r="X57" s="118"/>
      <c r="Z57" s="168">
        <v>600</v>
      </c>
      <c r="AA57" s="123">
        <f t="shared" si="2"/>
        <v>-250</v>
      </c>
    </row>
    <row r="58" spans="1:27" ht="45.65" customHeight="1" x14ac:dyDescent="0.55000000000000004">
      <c r="A58" s="105">
        <v>53</v>
      </c>
      <c r="B58" s="106" t="s">
        <v>237</v>
      </c>
      <c r="C58" s="107" t="s">
        <v>213</v>
      </c>
      <c r="D58" s="108"/>
      <c r="E58" s="108" t="s">
        <v>185</v>
      </c>
      <c r="F58" s="107"/>
      <c r="G58" s="141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176.3</v>
      </c>
      <c r="T58" s="112">
        <f t="shared" si="3"/>
        <v>423.7</v>
      </c>
      <c r="U58" s="53" t="s">
        <v>176</v>
      </c>
      <c r="V58" t="s">
        <v>197</v>
      </c>
      <c r="W58" s="53">
        <v>600</v>
      </c>
      <c r="X58" s="118">
        <v>-176.3</v>
      </c>
      <c r="Y58" t="s">
        <v>256</v>
      </c>
      <c r="Z58" s="168">
        <v>422.65</v>
      </c>
      <c r="AA58" s="123">
        <f t="shared" si="2"/>
        <v>1.0500000000000114</v>
      </c>
    </row>
    <row r="59" spans="1:27" ht="45.65" customHeight="1" x14ac:dyDescent="0.55000000000000004">
      <c r="A59" s="105">
        <v>54</v>
      </c>
      <c r="B59" s="106" t="s">
        <v>238</v>
      </c>
      <c r="C59" s="107" t="s">
        <v>214</v>
      </c>
      <c r="D59" s="108"/>
      <c r="E59" s="108" t="s">
        <v>191</v>
      </c>
      <c r="F59" s="107"/>
      <c r="G59" s="141">
        <v>422.65</v>
      </c>
      <c r="H59" s="110">
        <v>26</v>
      </c>
      <c r="I59" s="110">
        <v>0</v>
      </c>
      <c r="J59" s="111">
        <f t="shared" si="0"/>
        <v>422.64999999999992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422.64999999999992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3"/>
        <v>422.64999999999992</v>
      </c>
      <c r="U59" s="53"/>
      <c r="V59" t="s">
        <v>197</v>
      </c>
      <c r="W59" s="53"/>
      <c r="X59" s="118"/>
      <c r="Y59" t="s">
        <v>256</v>
      </c>
    </row>
    <row r="60" spans="1:27" ht="45.65" customHeight="1" x14ac:dyDescent="0.55000000000000004">
      <c r="A60" s="105">
        <v>55</v>
      </c>
      <c r="B60" s="106" t="s">
        <v>239</v>
      </c>
      <c r="C60" s="107" t="s">
        <v>175</v>
      </c>
      <c r="D60" s="108"/>
      <c r="E60" s="108" t="s">
        <v>192</v>
      </c>
      <c r="F60" s="107"/>
      <c r="G60" s="109">
        <v>300</v>
      </c>
      <c r="H60" s="110">
        <v>26</v>
      </c>
      <c r="I60" s="110">
        <v>0</v>
      </c>
      <c r="J60" s="111">
        <f t="shared" si="0"/>
        <v>300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300</v>
      </c>
      <c r="P60" s="111">
        <v>0</v>
      </c>
      <c r="Q60" s="153">
        <v>0</v>
      </c>
      <c r="R60" s="111">
        <v>0</v>
      </c>
      <c r="S60" s="151">
        <v>300</v>
      </c>
      <c r="T60" s="112">
        <f t="shared" si="3"/>
        <v>0</v>
      </c>
      <c r="U60" s="53" t="s">
        <v>176</v>
      </c>
      <c r="V60" t="s">
        <v>197</v>
      </c>
      <c r="W60" s="53">
        <v>300</v>
      </c>
      <c r="X60" s="118">
        <v>-300</v>
      </c>
      <c r="Y60" t="s">
        <v>256</v>
      </c>
    </row>
    <row r="61" spans="1:27" ht="45.65" customHeight="1" x14ac:dyDescent="0.55000000000000004">
      <c r="A61" s="105">
        <v>56</v>
      </c>
      <c r="B61" s="106" t="s">
        <v>240</v>
      </c>
      <c r="C61" s="107" t="s">
        <v>145</v>
      </c>
      <c r="D61" s="108"/>
      <c r="E61" s="108" t="s">
        <v>192</v>
      </c>
      <c r="F61" s="107"/>
      <c r="G61" s="109">
        <v>600</v>
      </c>
      <c r="H61" s="110">
        <v>26</v>
      </c>
      <c r="I61" s="110">
        <v>0</v>
      </c>
      <c r="J61" s="111">
        <f t="shared" si="0"/>
        <v>600</v>
      </c>
      <c r="K61" s="111">
        <v>0</v>
      </c>
      <c r="L61" s="111">
        <v>0</v>
      </c>
      <c r="M61" s="111">
        <v>0</v>
      </c>
      <c r="N61" s="111">
        <v>0</v>
      </c>
      <c r="O61" s="111">
        <f t="shared" si="1"/>
        <v>600</v>
      </c>
      <c r="P61" s="111">
        <v>0</v>
      </c>
      <c r="Q61" s="153">
        <v>0</v>
      </c>
      <c r="R61" s="111">
        <v>0</v>
      </c>
      <c r="S61" s="151">
        <v>600</v>
      </c>
      <c r="T61" s="112">
        <f t="shared" si="3"/>
        <v>0</v>
      </c>
      <c r="U61" s="52" t="s">
        <v>176</v>
      </c>
      <c r="V61" t="s">
        <v>197</v>
      </c>
      <c r="W61" s="53">
        <v>600</v>
      </c>
      <c r="X61" s="118">
        <v>-600</v>
      </c>
      <c r="Y61" t="s">
        <v>256</v>
      </c>
    </row>
    <row r="62" spans="1:27" ht="45.65" customHeight="1" x14ac:dyDescent="0.55000000000000004">
      <c r="A62" s="105">
        <v>57</v>
      </c>
      <c r="B62" s="106"/>
      <c r="C62" s="107"/>
      <c r="D62" s="108"/>
      <c r="E62" s="108"/>
      <c r="F62" s="107"/>
      <c r="G62" s="109"/>
      <c r="H62" s="110">
        <v>26</v>
      </c>
      <c r="I62" s="110">
        <v>0</v>
      </c>
      <c r="J62" s="111">
        <f t="shared" si="0"/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0</v>
      </c>
      <c r="P62" s="111">
        <v>0</v>
      </c>
      <c r="Q62" s="111">
        <v>0</v>
      </c>
      <c r="R62" s="111">
        <v>0</v>
      </c>
      <c r="S62" s="111">
        <v>0</v>
      </c>
      <c r="T62" s="112">
        <f t="shared" si="3"/>
        <v>0</v>
      </c>
      <c r="U62" s="51"/>
      <c r="W62" s="53"/>
      <c r="X62" s="118"/>
    </row>
    <row r="63" spans="1:27" ht="45.65" customHeight="1" x14ac:dyDescent="0.55000000000000004">
      <c r="A63" s="105">
        <v>58</v>
      </c>
      <c r="B63" s="106"/>
      <c r="C63" s="107"/>
      <c r="D63" s="108"/>
      <c r="E63" s="108"/>
      <c r="F63" s="107"/>
      <c r="G63" s="109"/>
      <c r="H63" s="110">
        <v>26</v>
      </c>
      <c r="I63" s="110">
        <v>0</v>
      </c>
      <c r="J63" s="111">
        <f t="shared" si="0"/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0</v>
      </c>
      <c r="P63" s="111">
        <v>0</v>
      </c>
      <c r="Q63" s="111">
        <v>0</v>
      </c>
      <c r="R63" s="111">
        <v>0</v>
      </c>
      <c r="S63" s="111">
        <v>0</v>
      </c>
      <c r="T63" s="112">
        <f t="shared" si="3"/>
        <v>0</v>
      </c>
      <c r="U63" s="51"/>
      <c r="W63" s="53"/>
      <c r="X63" s="118"/>
    </row>
    <row r="64" spans="1:27" ht="45.65" customHeight="1" thickBot="1" x14ac:dyDescent="0.6">
      <c r="A64" s="105">
        <v>59</v>
      </c>
      <c r="B64" s="106"/>
      <c r="C64" s="144"/>
      <c r="D64" s="145"/>
      <c r="E64" s="145"/>
      <c r="F64" s="144"/>
      <c r="G64" s="146"/>
      <c r="H64" s="147">
        <v>26</v>
      </c>
      <c r="I64" s="147">
        <v>0</v>
      </c>
      <c r="J64" s="148">
        <f t="shared" si="0"/>
        <v>0</v>
      </c>
      <c r="K64" s="148">
        <v>0</v>
      </c>
      <c r="L64" s="148">
        <v>0</v>
      </c>
      <c r="M64" s="148">
        <v>0</v>
      </c>
      <c r="N64" s="148">
        <v>0</v>
      </c>
      <c r="O64" s="148">
        <f t="shared" si="1"/>
        <v>0</v>
      </c>
      <c r="P64" s="148">
        <v>0</v>
      </c>
      <c r="Q64" s="148">
        <v>0</v>
      </c>
      <c r="R64" s="148">
        <v>0</v>
      </c>
      <c r="S64" s="148">
        <v>0</v>
      </c>
      <c r="T64" s="149">
        <f t="shared" si="3"/>
        <v>0</v>
      </c>
      <c r="U64" s="54"/>
      <c r="W64" s="53"/>
      <c r="X64" s="118"/>
    </row>
    <row r="65" spans="1:24" ht="50.15" customHeight="1" thickBot="1" x14ac:dyDescent="0.45">
      <c r="A65" s="157" t="s">
        <v>0</v>
      </c>
      <c r="B65" s="158"/>
      <c r="C65" s="158"/>
      <c r="D65" s="158"/>
      <c r="E65" s="158"/>
      <c r="F65" s="158"/>
      <c r="G65" s="158"/>
      <c r="H65" s="158"/>
      <c r="I65" s="159"/>
      <c r="J65" s="116">
        <f t="shared" ref="J65:T65" si="9">SUBTOTAL(9,J6:J64)</f>
        <v>14541.496153846154</v>
      </c>
      <c r="K65" s="116">
        <f t="shared" si="9"/>
        <v>0</v>
      </c>
      <c r="L65" s="116">
        <f t="shared" si="9"/>
        <v>0</v>
      </c>
      <c r="M65" s="116">
        <f t="shared" si="9"/>
        <v>0</v>
      </c>
      <c r="N65" s="116">
        <f t="shared" si="9"/>
        <v>300</v>
      </c>
      <c r="O65" s="116">
        <f t="shared" si="9"/>
        <v>14841.496153846154</v>
      </c>
      <c r="P65" s="116">
        <f t="shared" si="9"/>
        <v>0</v>
      </c>
      <c r="Q65" s="116">
        <f t="shared" si="9"/>
        <v>124.134</v>
      </c>
      <c r="R65" s="116">
        <f t="shared" si="9"/>
        <v>150</v>
      </c>
      <c r="S65" s="152">
        <f t="shared" si="9"/>
        <v>1276.3</v>
      </c>
      <c r="T65" s="124">
        <f t="shared" si="9"/>
        <v>13291.062153846155</v>
      </c>
      <c r="U65" s="116"/>
      <c r="W65" s="116">
        <f t="shared" ref="W65:X65" si="10">SUBTOTAL(9,W6:W64)</f>
        <v>2100</v>
      </c>
      <c r="X65" s="116">
        <f t="shared" si="10"/>
        <v>-1276.3</v>
      </c>
    </row>
    <row r="69" spans="1:24" x14ac:dyDescent="0.4">
      <c r="O69" s="123"/>
    </row>
  </sheetData>
  <autoFilter ref="A5:X64" xr:uid="{00000000-0001-0000-0300-000000000000}"/>
  <mergeCells count="17"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  <mergeCell ref="T4:T5"/>
    <mergeCell ref="U4:U5"/>
  </mergeCells>
  <conditionalFormatting sqref="C6:C64">
    <cfRule type="duplicateValues" dxfId="12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4E6C-06CD-4665-9984-82834853A251}">
  <sheetPr>
    <pageSetUpPr fitToPage="1"/>
  </sheetPr>
  <dimension ref="A1:AC72"/>
  <sheetViews>
    <sheetView zoomScale="70" zoomScaleNormal="70" workbookViewId="0">
      <pane ySplit="5" topLeftCell="A6" activePane="bottomLeft" state="frozen"/>
      <selection pane="bottomLeft" activeCell="B52" sqref="B52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hidden="1" customWidth="1"/>
    <col min="22" max="22" width="10.53515625" hidden="1" customWidth="1"/>
    <col min="23" max="23" width="18.3046875" hidden="1" customWidth="1"/>
    <col min="24" max="24" width="17" hidden="1" customWidth="1"/>
    <col min="25" max="25" width="13.3828125" customWidth="1"/>
    <col min="26" max="26" width="12.15234375" style="166" customWidth="1"/>
    <col min="27" max="27" width="14.3828125" customWidth="1"/>
  </cols>
  <sheetData>
    <row r="1" spans="1:27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7" ht="53.15" customHeight="1" thickBot="1" x14ac:dyDescent="0.45">
      <c r="A2" s="247" t="s">
        <v>257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7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7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  <c r="Z4" s="167"/>
    </row>
    <row r="5" spans="1:27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V5" s="160" t="s">
        <v>242</v>
      </c>
      <c r="W5" s="226"/>
      <c r="X5" s="226"/>
      <c r="Z5" s="167"/>
    </row>
    <row r="6" spans="1:27" ht="45.65" customHeight="1" x14ac:dyDescent="0.55000000000000004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7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5" customHeight="1" x14ac:dyDescent="0.55000000000000004">
      <c r="A7" s="105">
        <v>2</v>
      </c>
      <c r="B7" s="106" t="s">
        <v>263</v>
      </c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7" si="1">J7+K7+L7+M7+N7</f>
        <v>150</v>
      </c>
      <c r="P7" s="111">
        <v>0</v>
      </c>
      <c r="Q7" s="111">
        <v>5.77</v>
      </c>
      <c r="R7" s="111">
        <v>0</v>
      </c>
      <c r="S7" s="111">
        <v>0</v>
      </c>
      <c r="T7" s="112">
        <f>O7-P7-Q7-R7-S7</f>
        <v>144.22999999999999</v>
      </c>
      <c r="U7" s="51"/>
      <c r="V7" t="s">
        <v>241</v>
      </c>
      <c r="W7" s="51"/>
      <c r="X7" s="51"/>
      <c r="Z7" s="168">
        <v>69.23</v>
      </c>
      <c r="AA7" s="123">
        <f t="shared" ref="AA7:AA61" si="2">T7-Z7</f>
        <v>74.999999999999986</v>
      </c>
    </row>
    <row r="8" spans="1:27" ht="45.65" customHeight="1" x14ac:dyDescent="0.55000000000000004">
      <c r="A8" s="105"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0.99</v>
      </c>
      <c r="R8" s="111">
        <v>0</v>
      </c>
      <c r="S8" s="111">
        <v>0</v>
      </c>
      <c r="T8" s="112">
        <f t="shared" ref="T8:T67" si="3">O8-P8-Q8-R8-S8</f>
        <v>409.01</v>
      </c>
      <c r="U8" s="52"/>
      <c r="V8" t="s">
        <v>197</v>
      </c>
      <c r="X8" s="52"/>
      <c r="Y8" t="s">
        <v>256</v>
      </c>
      <c r="Z8" s="168">
        <v>410</v>
      </c>
      <c r="AA8" s="123">
        <f t="shared" si="2"/>
        <v>-0.99000000000000909</v>
      </c>
    </row>
    <row r="9" spans="1:27" ht="45.65" customHeight="1" x14ac:dyDescent="0.55000000000000004">
      <c r="A9" s="105"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3"/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5" customHeight="1" x14ac:dyDescent="0.55000000000000004">
      <c r="A10" s="105"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5" customHeight="1" x14ac:dyDescent="0.55000000000000004">
      <c r="A11" s="105"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3"/>
        <v>430.00000000000006</v>
      </c>
      <c r="U11" s="53"/>
      <c r="V11" t="s">
        <v>241</v>
      </c>
      <c r="W11" s="53"/>
      <c r="X11" s="53"/>
      <c r="Z11" s="168">
        <v>430</v>
      </c>
      <c r="AA11" s="123">
        <f t="shared" si="2"/>
        <v>0</v>
      </c>
    </row>
    <row r="12" spans="1:27" ht="45.65" customHeight="1" x14ac:dyDescent="0.55000000000000004">
      <c r="A12" s="105"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3"/>
        <v>189.99999999999997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5" customHeight="1" x14ac:dyDescent="0.55000000000000004">
      <c r="A13" s="105"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50</v>
      </c>
      <c r="M13" s="111">
        <v>0</v>
      </c>
      <c r="N13" s="111">
        <v>0</v>
      </c>
      <c r="O13" s="111">
        <f t="shared" si="1"/>
        <v>380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380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50</v>
      </c>
    </row>
    <row r="14" spans="1:27" s="175" customFormat="1" ht="45.65" customHeight="1" x14ac:dyDescent="0.55000000000000004">
      <c r="A14" s="169">
        <v>9</v>
      </c>
      <c r="B14" s="170" t="s">
        <v>267</v>
      </c>
      <c r="C14" s="178" t="s">
        <v>104</v>
      </c>
      <c r="D14" s="179" t="s">
        <v>178</v>
      </c>
      <c r="E14" s="179" t="s">
        <v>185</v>
      </c>
      <c r="F14" s="178" t="s">
        <v>89</v>
      </c>
      <c r="G14" s="180">
        <v>480</v>
      </c>
      <c r="H14" s="181">
        <v>0</v>
      </c>
      <c r="I14" s="181"/>
      <c r="J14" s="182">
        <f t="shared" si="0"/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f t="shared" si="1"/>
        <v>0</v>
      </c>
      <c r="P14" s="182">
        <v>0</v>
      </c>
      <c r="Q14" s="182">
        <v>0</v>
      </c>
      <c r="R14" s="182">
        <v>0</v>
      </c>
      <c r="S14" s="182">
        <v>0</v>
      </c>
      <c r="T14" s="183">
        <f t="shared" si="3"/>
        <v>0</v>
      </c>
      <c r="U14" s="174"/>
      <c r="V14" s="175" t="s">
        <v>241</v>
      </c>
      <c r="W14" s="174"/>
      <c r="X14" s="174"/>
      <c r="Z14" s="176">
        <v>0</v>
      </c>
      <c r="AA14" s="177">
        <f t="shared" si="2"/>
        <v>0</v>
      </c>
    </row>
    <row r="15" spans="1:27" ht="45.65" customHeight="1" x14ac:dyDescent="0.55000000000000004">
      <c r="A15" s="105"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200</v>
      </c>
      <c r="U15" s="53"/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5" customHeight="1" x14ac:dyDescent="0.55000000000000004">
      <c r="A16" s="105"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3"/>
        <v>430.00000000000006</v>
      </c>
      <c r="U16" s="53"/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5" customHeight="1" x14ac:dyDescent="0.55000000000000004">
      <c r="A17" s="105"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3"/>
        <v>400</v>
      </c>
      <c r="U17" s="53"/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4.3299999999999841</v>
      </c>
    </row>
    <row r="18" spans="1:29" ht="45.65" customHeight="1" x14ac:dyDescent="0.55000000000000004">
      <c r="A18" s="105"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600</v>
      </c>
      <c r="U18" s="53"/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5" customHeight="1" x14ac:dyDescent="0.55000000000000004">
      <c r="A19" s="105"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3"/>
        <v>300</v>
      </c>
      <c r="U19" s="53"/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5" customHeight="1" x14ac:dyDescent="0.55000000000000004">
      <c r="A20" s="105"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3"/>
        <v>250</v>
      </c>
      <c r="U20" s="53"/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5" customHeight="1" x14ac:dyDescent="0.55000000000000004">
      <c r="A21" s="105">
        <v>16</v>
      </c>
      <c r="B21" s="106" t="s">
        <v>268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3"/>
        <v>100</v>
      </c>
      <c r="U21" s="53"/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5" customHeight="1" x14ac:dyDescent="0.55000000000000004">
      <c r="A22" s="105">
        <v>17</v>
      </c>
      <c r="B22" s="106" t="s">
        <v>269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0</v>
      </c>
      <c r="R22" s="111">
        <v>50</v>
      </c>
      <c r="S22" s="111">
        <v>0</v>
      </c>
      <c r="T22" s="112">
        <f t="shared" si="3"/>
        <v>400</v>
      </c>
      <c r="U22" s="53"/>
      <c r="V22" t="s">
        <v>241</v>
      </c>
      <c r="W22" s="53"/>
      <c r="X22" s="53"/>
      <c r="Z22" s="168">
        <v>400</v>
      </c>
      <c r="AA22" s="123">
        <f t="shared" si="2"/>
        <v>0</v>
      </c>
    </row>
    <row r="23" spans="1:29" ht="45.65" customHeight="1" x14ac:dyDescent="0.55000000000000004">
      <c r="A23" s="105"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3"/>
        <v>300</v>
      </c>
      <c r="U23" s="53"/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s="175" customFormat="1" ht="45.65" customHeight="1" x14ac:dyDescent="0.55000000000000004">
      <c r="A24" s="169">
        <v>19</v>
      </c>
      <c r="B24" s="170" t="s">
        <v>270</v>
      </c>
      <c r="C24" s="154" t="s">
        <v>114</v>
      </c>
      <c r="D24" s="171" t="s">
        <v>180</v>
      </c>
      <c r="E24" s="171" t="s">
        <v>185</v>
      </c>
      <c r="F24" s="154" t="s">
        <v>157</v>
      </c>
      <c r="G24" s="170">
        <v>50</v>
      </c>
      <c r="H24" s="172">
        <v>0</v>
      </c>
      <c r="I24" s="172">
        <v>0</v>
      </c>
      <c r="J24" s="151">
        <f t="shared" si="0"/>
        <v>0</v>
      </c>
      <c r="K24" s="151">
        <v>0</v>
      </c>
      <c r="L24" s="151">
        <v>0</v>
      </c>
      <c r="M24" s="151">
        <v>0</v>
      </c>
      <c r="N24" s="151">
        <v>0</v>
      </c>
      <c r="O24" s="151">
        <f t="shared" si="1"/>
        <v>0</v>
      </c>
      <c r="P24" s="151">
        <v>0</v>
      </c>
      <c r="Q24" s="151">
        <v>0</v>
      </c>
      <c r="R24" s="151">
        <v>0</v>
      </c>
      <c r="S24" s="151">
        <v>0</v>
      </c>
      <c r="T24" s="173">
        <f t="shared" si="3"/>
        <v>0</v>
      </c>
      <c r="U24" s="174"/>
      <c r="V24" s="175" t="s">
        <v>241</v>
      </c>
      <c r="W24" s="174"/>
      <c r="X24" s="174"/>
      <c r="Z24" s="176">
        <v>50</v>
      </c>
      <c r="AA24" s="177">
        <f t="shared" si="2"/>
        <v>-50</v>
      </c>
    </row>
    <row r="25" spans="1:29" s="175" customFormat="1" ht="45.65" customHeight="1" x14ac:dyDescent="0.55000000000000004">
      <c r="A25" s="169">
        <v>20</v>
      </c>
      <c r="B25" s="170" t="s">
        <v>271</v>
      </c>
      <c r="C25" s="154" t="s">
        <v>258</v>
      </c>
      <c r="D25" s="171" t="s">
        <v>180</v>
      </c>
      <c r="E25" s="171" t="s">
        <v>185</v>
      </c>
      <c r="F25" s="154"/>
      <c r="G25" s="170">
        <v>50</v>
      </c>
      <c r="H25" s="172">
        <v>26</v>
      </c>
      <c r="I25" s="172">
        <v>0</v>
      </c>
      <c r="J25" s="151">
        <f t="shared" ref="J25" si="4">G25/26*H25</f>
        <v>50</v>
      </c>
      <c r="K25" s="151">
        <v>0</v>
      </c>
      <c r="L25" s="151">
        <v>0</v>
      </c>
      <c r="M25" s="151">
        <v>0</v>
      </c>
      <c r="N25" s="151">
        <v>0</v>
      </c>
      <c r="O25" s="151">
        <f t="shared" ref="O25" si="5">J25+K25+L25+M25+N25</f>
        <v>50</v>
      </c>
      <c r="P25" s="151">
        <v>0</v>
      </c>
      <c r="Q25" s="151">
        <v>0</v>
      </c>
      <c r="R25" s="151">
        <v>0</v>
      </c>
      <c r="S25" s="151">
        <v>0</v>
      </c>
      <c r="T25" s="173">
        <f t="shared" ref="T25" si="6">O25-P25-Q25-R25-S25</f>
        <v>50</v>
      </c>
      <c r="U25" s="174"/>
      <c r="W25" s="174"/>
      <c r="X25" s="174"/>
      <c r="Z25" s="176"/>
      <c r="AA25" s="177"/>
    </row>
    <row r="26" spans="1:29" ht="45.65" customHeight="1" x14ac:dyDescent="0.55000000000000004">
      <c r="A26" s="105">
        <v>20</v>
      </c>
      <c r="B26" s="106" t="s">
        <v>272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5.77</v>
      </c>
      <c r="R26" s="111">
        <v>0</v>
      </c>
      <c r="S26" s="111">
        <v>0</v>
      </c>
      <c r="T26" s="112">
        <f t="shared" si="3"/>
        <v>144.22999999999999</v>
      </c>
      <c r="U26" s="53"/>
      <c r="V26" t="s">
        <v>241</v>
      </c>
      <c r="W26" s="53"/>
      <c r="X26" s="53"/>
      <c r="Z26" s="168">
        <v>147.12</v>
      </c>
      <c r="AA26" s="123">
        <f t="shared" si="2"/>
        <v>-2.8900000000000148</v>
      </c>
      <c r="AC26">
        <f>150-147.116</f>
        <v>2.8839999999999861</v>
      </c>
    </row>
    <row r="27" spans="1:29" ht="45.65" customHeight="1" x14ac:dyDescent="0.55000000000000004">
      <c r="A27" s="105">
        <v>21</v>
      </c>
      <c r="B27" s="106" t="s">
        <v>226</v>
      </c>
      <c r="C27" s="120" t="s">
        <v>206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50</v>
      </c>
      <c r="M27" s="111">
        <v>0</v>
      </c>
      <c r="N27" s="111">
        <v>0</v>
      </c>
      <c r="O27" s="111">
        <f t="shared" si="1"/>
        <v>200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200</v>
      </c>
      <c r="U27" s="53"/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50</v>
      </c>
    </row>
    <row r="28" spans="1:29" ht="45.65" customHeight="1" x14ac:dyDescent="0.55000000000000004">
      <c r="A28" s="105">
        <v>22</v>
      </c>
      <c r="B28" s="106" t="s">
        <v>227</v>
      </c>
      <c r="C28" s="120" t="s">
        <v>207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40</v>
      </c>
      <c r="M28" s="111">
        <v>0</v>
      </c>
      <c r="N28" s="111">
        <v>0</v>
      </c>
      <c r="O28" s="111">
        <f t="shared" si="1"/>
        <v>190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190</v>
      </c>
      <c r="U28" s="53"/>
      <c r="V28" t="s">
        <v>197</v>
      </c>
      <c r="W28" s="53"/>
      <c r="X28" s="53"/>
      <c r="Y28" t="s">
        <v>256</v>
      </c>
      <c r="Z28" s="168">
        <v>150</v>
      </c>
      <c r="AA28" s="123">
        <f t="shared" si="2"/>
        <v>40</v>
      </c>
    </row>
    <row r="29" spans="1:29" ht="45.65" customHeight="1" x14ac:dyDescent="0.55000000000000004">
      <c r="A29" s="105">
        <v>23</v>
      </c>
      <c r="B29" s="106" t="s">
        <v>273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100</v>
      </c>
      <c r="U29" s="53"/>
      <c r="V29" t="s">
        <v>241</v>
      </c>
      <c r="W29" s="53"/>
      <c r="X29" s="53"/>
      <c r="Z29" s="168">
        <v>100</v>
      </c>
      <c r="AA29" s="123">
        <f t="shared" si="2"/>
        <v>0</v>
      </c>
    </row>
    <row r="30" spans="1:29" ht="45.65" customHeight="1" x14ac:dyDescent="0.55000000000000004">
      <c r="A30" s="105">
        <v>24</v>
      </c>
      <c r="B30" s="106" t="s">
        <v>274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30</v>
      </c>
      <c r="M30" s="111">
        <v>0</v>
      </c>
      <c r="N30" s="111">
        <v>0</v>
      </c>
      <c r="O30" s="111">
        <f t="shared" si="1"/>
        <v>110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110</v>
      </c>
      <c r="U30" s="53"/>
      <c r="V30" t="s">
        <v>241</v>
      </c>
      <c r="W30" s="53"/>
      <c r="X30" s="53"/>
      <c r="Z30" s="168">
        <v>80</v>
      </c>
      <c r="AA30" s="123">
        <f t="shared" si="2"/>
        <v>30</v>
      </c>
    </row>
    <row r="31" spans="1:29" ht="45.65" customHeight="1" x14ac:dyDescent="0.55000000000000004">
      <c r="A31" s="105">
        <v>25</v>
      </c>
      <c r="B31" s="106" t="s">
        <v>275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150</v>
      </c>
      <c r="U31" s="53"/>
      <c r="V31" t="s">
        <v>241</v>
      </c>
      <c r="W31" s="53"/>
      <c r="X31" s="53"/>
      <c r="Z31" s="168">
        <v>150</v>
      </c>
      <c r="AA31" s="123">
        <f t="shared" si="2"/>
        <v>0</v>
      </c>
    </row>
    <row r="32" spans="1:29" ht="45.65" customHeight="1" x14ac:dyDescent="0.55000000000000004">
      <c r="A32" s="105">
        <v>26</v>
      </c>
      <c r="B32" s="106" t="s">
        <v>228</v>
      </c>
      <c r="C32" s="120" t="s">
        <v>208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40</v>
      </c>
      <c r="M32" s="111">
        <v>0</v>
      </c>
      <c r="N32" s="111">
        <v>0</v>
      </c>
      <c r="O32" s="111">
        <f t="shared" si="1"/>
        <v>190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190</v>
      </c>
      <c r="U32" s="53"/>
      <c r="V32" t="s">
        <v>197</v>
      </c>
      <c r="W32" s="53"/>
      <c r="X32" s="53"/>
      <c r="Y32" t="s">
        <v>256</v>
      </c>
      <c r="Z32" s="168">
        <v>150</v>
      </c>
      <c r="AA32" s="123">
        <f t="shared" si="2"/>
        <v>40</v>
      </c>
    </row>
    <row r="33" spans="1:27" ht="45.65" customHeight="1" x14ac:dyDescent="0.55000000000000004">
      <c r="A33" s="105">
        <v>27</v>
      </c>
      <c r="B33" s="106" t="s">
        <v>276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200</v>
      </c>
      <c r="U33" s="53"/>
      <c r="V33" t="s">
        <v>241</v>
      </c>
      <c r="W33" s="53"/>
      <c r="X33" s="53"/>
      <c r="Z33" s="168">
        <v>200</v>
      </c>
      <c r="AA33" s="123">
        <f t="shared" si="2"/>
        <v>0</v>
      </c>
    </row>
    <row r="34" spans="1:27" ht="45.65" customHeight="1" x14ac:dyDescent="0.55000000000000004">
      <c r="A34" s="105">
        <v>28</v>
      </c>
      <c r="B34" s="106" t="s">
        <v>277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3"/>
        <v>250</v>
      </c>
      <c r="U34" s="53"/>
      <c r="V34" t="s">
        <v>241</v>
      </c>
      <c r="W34" s="53"/>
      <c r="X34" s="118"/>
      <c r="Z34" s="168">
        <v>250</v>
      </c>
      <c r="AA34" s="123">
        <f t="shared" si="2"/>
        <v>0</v>
      </c>
    </row>
    <row r="35" spans="1:27" ht="45.65" customHeight="1" x14ac:dyDescent="0.55000000000000004">
      <c r="A35" s="105">
        <v>29</v>
      </c>
      <c r="B35" s="163" t="s">
        <v>229</v>
      </c>
      <c r="C35" s="161" t="s">
        <v>209</v>
      </c>
      <c r="D35" s="162" t="s">
        <v>177</v>
      </c>
      <c r="E35" s="162" t="s">
        <v>185</v>
      </c>
      <c r="F35" s="161" t="s">
        <v>159</v>
      </c>
      <c r="G35" s="163">
        <v>384.23</v>
      </c>
      <c r="H35" s="164">
        <v>0</v>
      </c>
      <c r="I35" s="164">
        <v>0</v>
      </c>
      <c r="J35" s="126">
        <f t="shared" si="0"/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0</v>
      </c>
      <c r="P35" s="126">
        <v>0</v>
      </c>
      <c r="Q35" s="126">
        <v>0</v>
      </c>
      <c r="R35" s="126">
        <v>0</v>
      </c>
      <c r="S35" s="126">
        <v>0</v>
      </c>
      <c r="T35" s="165">
        <f t="shared" si="3"/>
        <v>0</v>
      </c>
      <c r="U35" s="53"/>
      <c r="V35" t="s">
        <v>197</v>
      </c>
      <c r="W35" s="53"/>
      <c r="X35" s="53"/>
      <c r="Y35" t="s">
        <v>256</v>
      </c>
      <c r="Z35" s="168">
        <v>0</v>
      </c>
      <c r="AA35" s="123">
        <f t="shared" si="2"/>
        <v>0</v>
      </c>
    </row>
    <row r="36" spans="1:27" ht="45.65" customHeight="1" x14ac:dyDescent="0.55000000000000004">
      <c r="A36" s="105">
        <v>30</v>
      </c>
      <c r="B36" s="106" t="s">
        <v>230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270</v>
      </c>
      <c r="U36" s="53"/>
      <c r="V36" t="s">
        <v>197</v>
      </c>
      <c r="W36" s="53"/>
      <c r="X36" s="53"/>
      <c r="Y36" t="s">
        <v>256</v>
      </c>
      <c r="Z36" s="168">
        <v>270</v>
      </c>
      <c r="AA36" s="123">
        <f t="shared" si="2"/>
        <v>0</v>
      </c>
    </row>
    <row r="37" spans="1:27" ht="45.65" customHeight="1" x14ac:dyDescent="0.55000000000000004">
      <c r="A37" s="105">
        <v>31</v>
      </c>
      <c r="B37" s="106" t="s">
        <v>278</v>
      </c>
      <c r="C37" s="120" t="s">
        <v>247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280</v>
      </c>
      <c r="U37" s="53"/>
      <c r="V37" t="s">
        <v>241</v>
      </c>
      <c r="W37" s="53"/>
      <c r="X37" s="53"/>
      <c r="Z37" s="168">
        <v>280</v>
      </c>
      <c r="AA37" s="123">
        <f t="shared" si="2"/>
        <v>0</v>
      </c>
    </row>
    <row r="38" spans="1:27" ht="45.65" customHeight="1" x14ac:dyDescent="0.55000000000000004">
      <c r="A38" s="105">
        <v>32</v>
      </c>
      <c r="B38" s="113" t="s">
        <v>279</v>
      </c>
      <c r="C38" s="122" t="s">
        <v>127</v>
      </c>
      <c r="D38" s="121" t="s">
        <v>177</v>
      </c>
      <c r="E38" s="121" t="s">
        <v>191</v>
      </c>
      <c r="F38" s="122" t="s">
        <v>161</v>
      </c>
      <c r="G38" s="113">
        <v>200</v>
      </c>
      <c r="H38" s="110">
        <v>26</v>
      </c>
      <c r="I38" s="110">
        <v>0</v>
      </c>
      <c r="J38" s="111">
        <f t="shared" si="0"/>
        <v>200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200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3"/>
        <v>200</v>
      </c>
      <c r="U38" s="53"/>
      <c r="V38" t="s">
        <v>241</v>
      </c>
      <c r="W38" s="53"/>
      <c r="X38" s="53"/>
      <c r="Z38" s="168">
        <v>0</v>
      </c>
      <c r="AA38" s="123">
        <f t="shared" si="2"/>
        <v>200</v>
      </c>
    </row>
    <row r="39" spans="1:27" ht="45.65" customHeight="1" x14ac:dyDescent="0.55000000000000004">
      <c r="A39" s="105">
        <v>33</v>
      </c>
      <c r="B39" s="106" t="s">
        <v>231</v>
      </c>
      <c r="C39" s="120" t="s">
        <v>211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2.89</v>
      </c>
      <c r="R39" s="111">
        <v>0</v>
      </c>
      <c r="S39" s="151">
        <v>200</v>
      </c>
      <c r="T39" s="112">
        <f t="shared" si="3"/>
        <v>397.11</v>
      </c>
      <c r="U39" s="53" t="s">
        <v>176</v>
      </c>
      <c r="V39" t="s">
        <v>197</v>
      </c>
      <c r="W39" s="53">
        <v>600</v>
      </c>
      <c r="X39" s="118">
        <v>-200</v>
      </c>
      <c r="Y39" t="s">
        <v>256</v>
      </c>
      <c r="Z39" s="168">
        <v>600</v>
      </c>
      <c r="AA39" s="123">
        <f t="shared" si="2"/>
        <v>-202.89</v>
      </c>
    </row>
    <row r="40" spans="1:27" ht="45.65" customHeight="1" x14ac:dyDescent="0.55000000000000004">
      <c r="A40" s="169">
        <v>34</v>
      </c>
      <c r="B40" s="170" t="s">
        <v>232</v>
      </c>
      <c r="C40" s="154" t="s">
        <v>248</v>
      </c>
      <c r="D40" s="171" t="s">
        <v>177</v>
      </c>
      <c r="E40" s="171" t="s">
        <v>191</v>
      </c>
      <c r="F40" s="154" t="s">
        <v>162</v>
      </c>
      <c r="G40" s="170">
        <v>450</v>
      </c>
      <c r="H40" s="172"/>
      <c r="I40" s="172">
        <v>0</v>
      </c>
      <c r="J40" s="151">
        <f t="shared" si="0"/>
        <v>0</v>
      </c>
      <c r="K40" s="151">
        <v>0</v>
      </c>
      <c r="L40" s="151">
        <v>0</v>
      </c>
      <c r="M40" s="151">
        <v>0</v>
      </c>
      <c r="N40" s="151">
        <v>0</v>
      </c>
      <c r="O40" s="151">
        <f t="shared" si="1"/>
        <v>0</v>
      </c>
      <c r="P40" s="151">
        <v>0</v>
      </c>
      <c r="Q40" s="151">
        <v>0</v>
      </c>
      <c r="R40" s="151">
        <v>0</v>
      </c>
      <c r="S40" s="151">
        <v>0</v>
      </c>
      <c r="T40" s="173">
        <f t="shared" si="3"/>
        <v>0</v>
      </c>
      <c r="U40" s="53"/>
      <c r="V40" t="s">
        <v>197</v>
      </c>
      <c r="W40" s="53"/>
      <c r="X40" s="53"/>
      <c r="Y40" t="s">
        <v>256</v>
      </c>
      <c r="Z40" s="168">
        <v>103.85</v>
      </c>
      <c r="AA40" s="123">
        <f t="shared" si="2"/>
        <v>-103.85</v>
      </c>
    </row>
    <row r="41" spans="1:27" ht="45.65" customHeight="1" x14ac:dyDescent="0.55000000000000004">
      <c r="A41" s="105">
        <v>35</v>
      </c>
      <c r="B41" s="106" t="s">
        <v>233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0</v>
      </c>
      <c r="R41" s="111">
        <v>0</v>
      </c>
      <c r="S41" s="111">
        <v>0</v>
      </c>
      <c r="T41" s="112">
        <f t="shared" si="3"/>
        <v>550</v>
      </c>
      <c r="U41" s="53"/>
      <c r="V41" t="s">
        <v>197</v>
      </c>
      <c r="W41" s="53"/>
      <c r="X41" s="53"/>
      <c r="Y41" t="s">
        <v>256</v>
      </c>
      <c r="Z41" s="168">
        <v>550</v>
      </c>
      <c r="AA41" s="123">
        <f t="shared" si="2"/>
        <v>0</v>
      </c>
    </row>
    <row r="42" spans="1:27" ht="45.65" customHeight="1" x14ac:dyDescent="0.55000000000000004">
      <c r="A42" s="105">
        <v>36</v>
      </c>
      <c r="B42" s="106" t="s">
        <v>234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5.77</v>
      </c>
      <c r="R42" s="111">
        <v>0</v>
      </c>
      <c r="S42" s="111">
        <v>0</v>
      </c>
      <c r="T42" s="112">
        <f t="shared" si="3"/>
        <v>444.23</v>
      </c>
      <c r="U42" s="53"/>
      <c r="V42" t="s">
        <v>197</v>
      </c>
      <c r="W42" s="53"/>
      <c r="X42" s="53"/>
      <c r="Y42" t="s">
        <v>256</v>
      </c>
      <c r="Z42" s="168">
        <v>448.08</v>
      </c>
      <c r="AA42" s="123">
        <f t="shared" si="2"/>
        <v>-3.8499999999999659</v>
      </c>
    </row>
    <row r="43" spans="1:27" ht="45.65" customHeight="1" x14ac:dyDescent="0.55000000000000004">
      <c r="A43" s="105">
        <v>37</v>
      </c>
      <c r="B43" s="106" t="s">
        <v>235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20</v>
      </c>
      <c r="I43" s="110">
        <v>0</v>
      </c>
      <c r="J43" s="111">
        <f t="shared" si="0"/>
        <v>346.15384615384613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346.15384615384613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3"/>
        <v>346.15384615384613</v>
      </c>
      <c r="U43" s="53"/>
      <c r="V43" t="s">
        <v>197</v>
      </c>
      <c r="W43" s="53"/>
      <c r="X43" s="53"/>
      <c r="Y43" t="s">
        <v>256</v>
      </c>
      <c r="Z43" s="168">
        <v>450</v>
      </c>
      <c r="AA43" s="123">
        <f t="shared" si="2"/>
        <v>-103.84615384615387</v>
      </c>
    </row>
    <row r="44" spans="1:27" ht="45.65" customHeight="1" x14ac:dyDescent="0.55000000000000004">
      <c r="A44" s="105">
        <v>38</v>
      </c>
      <c r="B44" s="106" t="s">
        <v>236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15</v>
      </c>
      <c r="R44" s="111">
        <v>0</v>
      </c>
      <c r="S44" s="111">
        <v>0</v>
      </c>
      <c r="T44" s="112">
        <f t="shared" si="3"/>
        <v>245</v>
      </c>
      <c r="U44" s="53"/>
      <c r="V44" t="s">
        <v>197</v>
      </c>
      <c r="W44" s="53"/>
      <c r="X44" s="53"/>
      <c r="Y44" t="s">
        <v>256</v>
      </c>
      <c r="Z44" s="168">
        <v>260</v>
      </c>
      <c r="AA44" s="123">
        <f t="shared" si="2"/>
        <v>-15</v>
      </c>
    </row>
    <row r="45" spans="1:27" ht="45.65" customHeight="1" x14ac:dyDescent="0.55000000000000004">
      <c r="A45" s="105">
        <v>39</v>
      </c>
      <c r="B45" s="163" t="s">
        <v>280</v>
      </c>
      <c r="C45" s="161" t="s">
        <v>134</v>
      </c>
      <c r="D45" s="162" t="s">
        <v>177</v>
      </c>
      <c r="E45" s="162" t="s">
        <v>185</v>
      </c>
      <c r="F45" s="161" t="s">
        <v>89</v>
      </c>
      <c r="G45" s="163">
        <v>120</v>
      </c>
      <c r="H45" s="164">
        <v>0</v>
      </c>
      <c r="I45" s="164">
        <v>0</v>
      </c>
      <c r="J45" s="126">
        <f t="shared" si="0"/>
        <v>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0</v>
      </c>
      <c r="P45" s="126">
        <v>0</v>
      </c>
      <c r="Q45" s="126">
        <v>0</v>
      </c>
      <c r="R45" s="126">
        <v>0</v>
      </c>
      <c r="S45" s="126">
        <v>0</v>
      </c>
      <c r="T45" s="165">
        <f t="shared" si="3"/>
        <v>0</v>
      </c>
      <c r="U45" s="53"/>
      <c r="V45" t="s">
        <v>241</v>
      </c>
      <c r="W45" s="53"/>
      <c r="X45" s="53"/>
      <c r="Z45" s="168">
        <v>76.92</v>
      </c>
      <c r="AA45" s="123">
        <f t="shared" si="2"/>
        <v>-76.92</v>
      </c>
    </row>
    <row r="46" spans="1:27" ht="45.65" customHeight="1" x14ac:dyDescent="0.55000000000000004">
      <c r="A46" s="105">
        <v>40</v>
      </c>
      <c r="B46" s="113" t="s">
        <v>281</v>
      </c>
      <c r="C46" s="122" t="s">
        <v>249</v>
      </c>
      <c r="D46" s="121" t="s">
        <v>177</v>
      </c>
      <c r="E46" s="121" t="s">
        <v>185</v>
      </c>
      <c r="F46" s="122"/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80</v>
      </c>
      <c r="U46" s="53"/>
      <c r="W46" s="53"/>
      <c r="X46" s="53"/>
      <c r="Z46" s="168">
        <v>120</v>
      </c>
      <c r="AA46" s="123">
        <f t="shared" si="2"/>
        <v>-40</v>
      </c>
    </row>
    <row r="47" spans="1:27" ht="45.65" customHeight="1" x14ac:dyDescent="0.55000000000000004">
      <c r="A47" s="105">
        <v>41</v>
      </c>
      <c r="B47" s="106" t="s">
        <v>282</v>
      </c>
      <c r="C47" s="120" t="s">
        <v>135</v>
      </c>
      <c r="D47" s="121" t="s">
        <v>184</v>
      </c>
      <c r="E47" s="121" t="s">
        <v>185</v>
      </c>
      <c r="F47" s="120" t="s">
        <v>165</v>
      </c>
      <c r="G47" s="106">
        <v>120</v>
      </c>
      <c r="H47" s="110">
        <v>26</v>
      </c>
      <c r="I47" s="110">
        <v>0</v>
      </c>
      <c r="J47" s="111">
        <f t="shared" si="0"/>
        <v>119.99999999999999</v>
      </c>
      <c r="K47" s="111">
        <v>0</v>
      </c>
      <c r="L47" s="111">
        <v>70</v>
      </c>
      <c r="M47" s="111">
        <v>0</v>
      </c>
      <c r="N47" s="111">
        <v>0</v>
      </c>
      <c r="O47" s="111">
        <f t="shared" si="1"/>
        <v>190</v>
      </c>
      <c r="P47" s="111">
        <v>0</v>
      </c>
      <c r="Q47" s="111">
        <v>0</v>
      </c>
      <c r="R47" s="111">
        <v>0</v>
      </c>
      <c r="S47" s="111">
        <v>0</v>
      </c>
      <c r="T47" s="112">
        <f t="shared" si="3"/>
        <v>190</v>
      </c>
      <c r="U47" s="53"/>
      <c r="V47" t="s">
        <v>241</v>
      </c>
      <c r="W47" s="53"/>
      <c r="X47" s="118"/>
      <c r="Z47" s="168">
        <v>80</v>
      </c>
      <c r="AA47" s="123">
        <f t="shared" si="2"/>
        <v>110</v>
      </c>
    </row>
    <row r="48" spans="1:27" ht="45.65" customHeight="1" x14ac:dyDescent="0.55000000000000004">
      <c r="A48" s="105">
        <v>42</v>
      </c>
      <c r="B48" s="106" t="s">
        <v>283</v>
      </c>
      <c r="C48" s="120" t="s">
        <v>250</v>
      </c>
      <c r="D48" s="121" t="s">
        <v>184</v>
      </c>
      <c r="E48" s="121" t="s">
        <v>185</v>
      </c>
      <c r="F48" s="120" t="s">
        <v>166</v>
      </c>
      <c r="G48" s="106">
        <v>80</v>
      </c>
      <c r="H48" s="110">
        <v>26</v>
      </c>
      <c r="I48" s="110">
        <v>0</v>
      </c>
      <c r="J48" s="111">
        <f t="shared" si="0"/>
        <v>80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80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80</v>
      </c>
      <c r="U48" s="53"/>
      <c r="V48" t="s">
        <v>241</v>
      </c>
      <c r="W48" s="53"/>
      <c r="X48" s="118"/>
      <c r="Z48" s="168">
        <v>240</v>
      </c>
      <c r="AA48" s="123">
        <f t="shared" si="2"/>
        <v>-160</v>
      </c>
    </row>
    <row r="49" spans="1:27" ht="45.65" customHeight="1" x14ac:dyDescent="0.55000000000000004">
      <c r="A49" s="105">
        <v>43</v>
      </c>
      <c r="B49" s="106" t="s">
        <v>284</v>
      </c>
      <c r="C49" s="120" t="s">
        <v>137</v>
      </c>
      <c r="D49" s="121" t="s">
        <v>184</v>
      </c>
      <c r="E49" s="121" t="s">
        <v>185</v>
      </c>
      <c r="F49" s="120" t="s">
        <v>165</v>
      </c>
      <c r="G49" s="106">
        <v>240</v>
      </c>
      <c r="H49" s="110">
        <v>26</v>
      </c>
      <c r="I49" s="110">
        <v>0</v>
      </c>
      <c r="J49" s="111">
        <f t="shared" si="0"/>
        <v>239.99999999999997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239.99999999999997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239.99999999999997</v>
      </c>
      <c r="U49" s="53"/>
      <c r="V49" t="s">
        <v>241</v>
      </c>
      <c r="W49" s="53"/>
      <c r="X49" s="118"/>
      <c r="Z49" s="168">
        <v>120</v>
      </c>
      <c r="AA49" s="123">
        <f t="shared" si="2"/>
        <v>119.99999999999997</v>
      </c>
    </row>
    <row r="50" spans="1:27" ht="45.65" customHeight="1" x14ac:dyDescent="0.55000000000000004">
      <c r="A50" s="105">
        <v>44</v>
      </c>
      <c r="B50" s="106" t="s">
        <v>285</v>
      </c>
      <c r="C50" s="120" t="s">
        <v>138</v>
      </c>
      <c r="D50" s="121" t="s">
        <v>184</v>
      </c>
      <c r="E50" s="121" t="s">
        <v>185</v>
      </c>
      <c r="F50" s="120" t="s">
        <v>165</v>
      </c>
      <c r="G50" s="106">
        <v>120</v>
      </c>
      <c r="H50" s="110">
        <v>26</v>
      </c>
      <c r="I50" s="110">
        <v>0</v>
      </c>
      <c r="J50" s="111">
        <f t="shared" si="0"/>
        <v>119.99999999999999</v>
      </c>
      <c r="K50" s="111">
        <v>0</v>
      </c>
      <c r="L50" s="111">
        <v>0</v>
      </c>
      <c r="M50" s="111">
        <v>0</v>
      </c>
      <c r="N50" s="111">
        <v>0</v>
      </c>
      <c r="O50" s="111">
        <f t="shared" si="1"/>
        <v>119.99999999999999</v>
      </c>
      <c r="P50" s="111">
        <v>0</v>
      </c>
      <c r="Q50" s="111">
        <v>1.73</v>
      </c>
      <c r="R50" s="111">
        <v>0</v>
      </c>
      <c r="S50" s="111">
        <v>0</v>
      </c>
      <c r="T50" s="112">
        <f t="shared" si="3"/>
        <v>118.26999999999998</v>
      </c>
      <c r="U50" s="53"/>
      <c r="V50" t="s">
        <v>241</v>
      </c>
      <c r="W50" s="53"/>
      <c r="X50" s="118"/>
      <c r="Z50" s="168">
        <v>100</v>
      </c>
      <c r="AA50" s="123">
        <f t="shared" si="2"/>
        <v>18.269999999999982</v>
      </c>
    </row>
    <row r="51" spans="1:27" ht="45.65" customHeight="1" thickBot="1" x14ac:dyDescent="0.6">
      <c r="A51" s="105">
        <v>45</v>
      </c>
      <c r="B51" s="106" t="s">
        <v>286</v>
      </c>
      <c r="C51" s="129" t="s">
        <v>139</v>
      </c>
      <c r="D51" s="130" t="s">
        <v>184</v>
      </c>
      <c r="E51" s="121" t="s">
        <v>185</v>
      </c>
      <c r="F51" s="129" t="s">
        <v>167</v>
      </c>
      <c r="G51" s="128">
        <v>100</v>
      </c>
      <c r="H51" s="131">
        <v>26</v>
      </c>
      <c r="I51" s="131">
        <v>0</v>
      </c>
      <c r="J51" s="132">
        <f t="shared" si="0"/>
        <v>100</v>
      </c>
      <c r="K51" s="132">
        <v>0</v>
      </c>
      <c r="L51" s="132">
        <v>0</v>
      </c>
      <c r="M51" s="132">
        <v>0</v>
      </c>
      <c r="N51" s="132">
        <v>0</v>
      </c>
      <c r="O51" s="132">
        <f t="shared" si="1"/>
        <v>100</v>
      </c>
      <c r="P51" s="132">
        <v>0</v>
      </c>
      <c r="Q51" s="132">
        <v>0</v>
      </c>
      <c r="R51" s="132">
        <v>0</v>
      </c>
      <c r="S51" s="132">
        <v>0</v>
      </c>
      <c r="T51" s="133">
        <f t="shared" si="3"/>
        <v>100</v>
      </c>
      <c r="U51" s="53"/>
      <c r="V51" t="s">
        <v>241</v>
      </c>
      <c r="W51" s="53"/>
      <c r="X51" s="118"/>
      <c r="Z51" s="168">
        <v>250</v>
      </c>
      <c r="AA51" s="123">
        <f t="shared" si="2"/>
        <v>-150</v>
      </c>
    </row>
    <row r="52" spans="1:27" ht="45.65" customHeight="1" x14ac:dyDescent="0.55000000000000004">
      <c r="A52" s="105">
        <v>46</v>
      </c>
      <c r="B52" s="106" t="s">
        <v>287</v>
      </c>
      <c r="C52" s="136" t="s">
        <v>140</v>
      </c>
      <c r="D52" s="137" t="s">
        <v>180</v>
      </c>
      <c r="E52" s="121" t="s">
        <v>185</v>
      </c>
      <c r="F52" s="136" t="s">
        <v>168</v>
      </c>
      <c r="G52" s="135">
        <v>250</v>
      </c>
      <c r="H52" s="138">
        <v>26</v>
      </c>
      <c r="I52" s="138">
        <v>0</v>
      </c>
      <c r="J52" s="139">
        <f t="shared" si="0"/>
        <v>250</v>
      </c>
      <c r="K52" s="139">
        <v>0</v>
      </c>
      <c r="L52" s="139">
        <v>0</v>
      </c>
      <c r="M52" s="139">
        <v>0</v>
      </c>
      <c r="N52" s="139">
        <v>0</v>
      </c>
      <c r="O52" s="139">
        <f t="shared" si="1"/>
        <v>250</v>
      </c>
      <c r="P52" s="139">
        <v>0</v>
      </c>
      <c r="Q52" s="139">
        <v>0</v>
      </c>
      <c r="R52" s="139">
        <v>0</v>
      </c>
      <c r="S52" s="139">
        <v>0</v>
      </c>
      <c r="T52" s="140">
        <f t="shared" si="3"/>
        <v>250</v>
      </c>
      <c r="U52" s="53"/>
      <c r="V52" t="s">
        <v>241</v>
      </c>
      <c r="W52" s="53"/>
      <c r="X52" s="118"/>
      <c r="Z52" s="168">
        <v>120</v>
      </c>
      <c r="AA52" s="123">
        <f t="shared" si="2"/>
        <v>130</v>
      </c>
    </row>
    <row r="53" spans="1:27" ht="45.65" customHeight="1" x14ac:dyDescent="0.55000000000000004">
      <c r="A53" s="105">
        <v>47</v>
      </c>
      <c r="B53" s="106" t="s">
        <v>288</v>
      </c>
      <c r="C53" s="107" t="s">
        <v>141</v>
      </c>
      <c r="D53" s="108" t="s">
        <v>184</v>
      </c>
      <c r="E53" s="121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10</v>
      </c>
      <c r="M53" s="111">
        <v>0</v>
      </c>
      <c r="N53" s="111">
        <v>0</v>
      </c>
      <c r="O53" s="111">
        <f t="shared" si="1"/>
        <v>110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3"/>
        <v>110</v>
      </c>
      <c r="U53" s="53"/>
      <c r="V53" t="s">
        <v>241</v>
      </c>
      <c r="W53" s="53"/>
      <c r="X53" s="118"/>
      <c r="Z53" s="168">
        <v>150</v>
      </c>
      <c r="AA53" s="123">
        <f t="shared" si="2"/>
        <v>-40</v>
      </c>
    </row>
    <row r="54" spans="1:27" ht="45.65" customHeight="1" x14ac:dyDescent="0.55000000000000004">
      <c r="A54" s="105">
        <v>48</v>
      </c>
      <c r="B54" s="106" t="s">
        <v>289</v>
      </c>
      <c r="C54" s="107" t="s">
        <v>142</v>
      </c>
      <c r="D54" s="108" t="s">
        <v>184</v>
      </c>
      <c r="E54" s="121" t="s">
        <v>185</v>
      </c>
      <c r="F54" s="107" t="s">
        <v>170</v>
      </c>
      <c r="G54" s="109">
        <v>150</v>
      </c>
      <c r="H54" s="110">
        <v>26</v>
      </c>
      <c r="I54" s="110">
        <v>0</v>
      </c>
      <c r="J54" s="111">
        <f t="shared" si="0"/>
        <v>150</v>
      </c>
      <c r="K54" s="111">
        <v>0</v>
      </c>
      <c r="L54" s="111">
        <v>20</v>
      </c>
      <c r="M54" s="111">
        <v>0</v>
      </c>
      <c r="N54" s="111">
        <v>0</v>
      </c>
      <c r="O54" s="111">
        <f t="shared" si="1"/>
        <v>170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3"/>
        <v>170</v>
      </c>
      <c r="U54" s="53"/>
      <c r="V54" t="s">
        <v>241</v>
      </c>
      <c r="W54" s="53"/>
      <c r="X54" s="118"/>
      <c r="Z54" s="168">
        <v>100</v>
      </c>
      <c r="AA54" s="123">
        <f t="shared" si="2"/>
        <v>70</v>
      </c>
    </row>
    <row r="55" spans="1:27" ht="45.65" customHeight="1" x14ac:dyDescent="0.55000000000000004">
      <c r="A55" s="105">
        <v>49</v>
      </c>
      <c r="B55" s="106" t="s">
        <v>290</v>
      </c>
      <c r="C55" s="107" t="s">
        <v>251</v>
      </c>
      <c r="D55" s="108" t="s">
        <v>184</v>
      </c>
      <c r="E55" s="108" t="s">
        <v>185</v>
      </c>
      <c r="F55" s="107" t="s">
        <v>169</v>
      </c>
      <c r="G55" s="109">
        <v>100</v>
      </c>
      <c r="H55" s="110">
        <v>26</v>
      </c>
      <c r="I55" s="110">
        <v>0</v>
      </c>
      <c r="J55" s="111">
        <f t="shared" si="0"/>
        <v>100</v>
      </c>
      <c r="K55" s="111">
        <v>0</v>
      </c>
      <c r="L55" s="111">
        <v>20</v>
      </c>
      <c r="M55" s="111">
        <v>0</v>
      </c>
      <c r="N55" s="111">
        <v>0</v>
      </c>
      <c r="O55" s="111">
        <f t="shared" si="1"/>
        <v>120</v>
      </c>
      <c r="P55" s="111">
        <v>0</v>
      </c>
      <c r="Q55" s="111">
        <v>0</v>
      </c>
      <c r="R55" s="111">
        <v>0</v>
      </c>
      <c r="S55" s="111">
        <v>0</v>
      </c>
      <c r="T55" s="112">
        <f t="shared" si="3"/>
        <v>120</v>
      </c>
      <c r="U55" s="53"/>
      <c r="V55" t="s">
        <v>241</v>
      </c>
      <c r="W55" s="53"/>
      <c r="X55" s="118"/>
      <c r="Z55" s="168">
        <v>238.85</v>
      </c>
      <c r="AA55" s="123">
        <f t="shared" si="2"/>
        <v>-118.85</v>
      </c>
    </row>
    <row r="56" spans="1:27" ht="45.65" customHeight="1" x14ac:dyDescent="0.55000000000000004">
      <c r="A56" s="105">
        <v>50</v>
      </c>
      <c r="B56" s="106" t="s">
        <v>291</v>
      </c>
      <c r="C56" s="107" t="s">
        <v>252</v>
      </c>
      <c r="D56" s="108" t="s">
        <v>177</v>
      </c>
      <c r="E56" s="108" t="s">
        <v>185</v>
      </c>
      <c r="F56" s="107"/>
      <c r="G56" s="109">
        <v>270</v>
      </c>
      <c r="H56" s="110">
        <v>26</v>
      </c>
      <c r="I56" s="110">
        <v>0</v>
      </c>
      <c r="J56" s="111">
        <f>G56/26*H56</f>
        <v>270</v>
      </c>
      <c r="K56" s="111">
        <v>0</v>
      </c>
      <c r="L56" s="111">
        <v>0</v>
      </c>
      <c r="M56" s="111">
        <v>0</v>
      </c>
      <c r="N56" s="111">
        <v>0</v>
      </c>
      <c r="O56" s="111">
        <f>J56+K56+L56+M56+N56</f>
        <v>270</v>
      </c>
      <c r="P56" s="111">
        <v>0</v>
      </c>
      <c r="Q56" s="111">
        <v>0</v>
      </c>
      <c r="R56" s="111">
        <v>0</v>
      </c>
      <c r="S56" s="111">
        <v>0</v>
      </c>
      <c r="T56" s="112">
        <f>O56-P56-Q56-R56-S56</f>
        <v>270</v>
      </c>
      <c r="U56" s="53"/>
      <c r="V56" t="s">
        <v>241</v>
      </c>
      <c r="W56" s="53"/>
      <c r="X56" s="118"/>
      <c r="Z56" s="168">
        <v>500</v>
      </c>
      <c r="AA56" s="123">
        <f t="shared" si="2"/>
        <v>-230</v>
      </c>
    </row>
    <row r="57" spans="1:27" ht="45.65" customHeight="1" x14ac:dyDescent="0.55000000000000004">
      <c r="A57" s="105">
        <v>51</v>
      </c>
      <c r="B57" s="106" t="s">
        <v>255</v>
      </c>
      <c r="C57" s="107" t="s">
        <v>253</v>
      </c>
      <c r="D57" s="108" t="s">
        <v>178</v>
      </c>
      <c r="E57" s="108" t="s">
        <v>185</v>
      </c>
      <c r="F57" s="107"/>
      <c r="G57" s="109">
        <v>500</v>
      </c>
      <c r="H57" s="110">
        <v>26</v>
      </c>
      <c r="I57" s="110">
        <v>0</v>
      </c>
      <c r="J57" s="111">
        <f t="shared" ref="J57:J58" si="7">G57/26*H57</f>
        <v>500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ref="O57:O58" si="8">J57+K57+L57+M57+N57</f>
        <v>500</v>
      </c>
      <c r="P57" s="111">
        <v>0</v>
      </c>
      <c r="Q57" s="111">
        <v>0</v>
      </c>
      <c r="R57" s="111">
        <v>0</v>
      </c>
      <c r="S57" s="111">
        <v>0</v>
      </c>
      <c r="T57" s="112">
        <f>O57-P57-Q57-R57-S57</f>
        <v>500</v>
      </c>
      <c r="U57" s="53"/>
      <c r="W57" s="53"/>
      <c r="X57" s="118"/>
      <c r="Y57" t="s">
        <v>256</v>
      </c>
      <c r="Z57" s="168">
        <v>350</v>
      </c>
      <c r="AA57" s="123">
        <f t="shared" si="2"/>
        <v>150</v>
      </c>
    </row>
    <row r="58" spans="1:27" ht="45.65" customHeight="1" x14ac:dyDescent="0.55000000000000004">
      <c r="A58" s="105">
        <v>52</v>
      </c>
      <c r="B58" s="106" t="s">
        <v>292</v>
      </c>
      <c r="C58" s="107" t="s">
        <v>254</v>
      </c>
      <c r="D58" s="108" t="s">
        <v>178</v>
      </c>
      <c r="E58" s="108" t="s">
        <v>185</v>
      </c>
      <c r="F58" s="107"/>
      <c r="G58" s="109">
        <v>350</v>
      </c>
      <c r="H58" s="110">
        <v>26</v>
      </c>
      <c r="I58" s="110">
        <v>0</v>
      </c>
      <c r="J58" s="111">
        <f t="shared" si="7"/>
        <v>350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8"/>
        <v>350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3"/>
        <v>350</v>
      </c>
      <c r="U58" s="53"/>
      <c r="W58" s="53"/>
      <c r="X58" s="118"/>
      <c r="Z58" s="168">
        <v>600</v>
      </c>
      <c r="AA58" s="123">
        <f t="shared" si="2"/>
        <v>-250</v>
      </c>
    </row>
    <row r="59" spans="1:27" ht="45.65" customHeight="1" x14ac:dyDescent="0.55000000000000004">
      <c r="A59" s="105">
        <v>53</v>
      </c>
      <c r="B59" s="106" t="s">
        <v>293</v>
      </c>
      <c r="C59" s="107" t="s">
        <v>259</v>
      </c>
      <c r="D59" s="108" t="s">
        <v>178</v>
      </c>
      <c r="E59" s="108" t="s">
        <v>185</v>
      </c>
      <c r="F59" s="107"/>
      <c r="G59" s="109">
        <v>80</v>
      </c>
      <c r="H59" s="110">
        <v>26</v>
      </c>
      <c r="I59" s="110">
        <v>0</v>
      </c>
      <c r="J59" s="111">
        <f t="shared" ref="J59:J60" si="9">G59/26*H59</f>
        <v>80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ref="O59:O60" si="10">J59+K59+L59+M59+N59</f>
        <v>80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ref="T59:T60" si="11">O59-P59-Q59-R59-S59</f>
        <v>80</v>
      </c>
      <c r="U59" s="53"/>
      <c r="W59" s="53"/>
      <c r="X59" s="118"/>
      <c r="Z59" s="168"/>
      <c r="AA59" s="123"/>
    </row>
    <row r="60" spans="1:27" ht="45.65" customHeight="1" x14ac:dyDescent="0.55000000000000004">
      <c r="A60" s="105">
        <v>54</v>
      </c>
      <c r="B60" s="106" t="s">
        <v>294</v>
      </c>
      <c r="C60" s="107" t="s">
        <v>260</v>
      </c>
      <c r="D60" s="108" t="s">
        <v>178</v>
      </c>
      <c r="E60" s="108" t="s">
        <v>185</v>
      </c>
      <c r="F60" s="107"/>
      <c r="G60" s="109">
        <v>130</v>
      </c>
      <c r="H60" s="110">
        <v>26</v>
      </c>
      <c r="I60" s="110">
        <v>0</v>
      </c>
      <c r="J60" s="111">
        <f t="shared" si="9"/>
        <v>130</v>
      </c>
      <c r="K60" s="111">
        <v>0</v>
      </c>
      <c r="L60" s="111">
        <v>75</v>
      </c>
      <c r="M60" s="111">
        <v>0</v>
      </c>
      <c r="N60" s="111">
        <v>0</v>
      </c>
      <c r="O60" s="111">
        <f t="shared" si="10"/>
        <v>205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11"/>
        <v>205</v>
      </c>
      <c r="U60" s="53"/>
      <c r="W60" s="53"/>
      <c r="X60" s="118"/>
      <c r="Z60" s="168"/>
      <c r="AA60" s="123"/>
    </row>
    <row r="61" spans="1:27" ht="45.65" customHeight="1" x14ac:dyDescent="0.55000000000000004">
      <c r="A61" s="105">
        <v>53</v>
      </c>
      <c r="B61" s="106" t="s">
        <v>237</v>
      </c>
      <c r="C61" s="107" t="s">
        <v>213</v>
      </c>
      <c r="D61" s="108"/>
      <c r="E61" s="108" t="s">
        <v>185</v>
      </c>
      <c r="F61" s="107"/>
      <c r="G61" s="141">
        <v>600</v>
      </c>
      <c r="H61" s="110">
        <v>26</v>
      </c>
      <c r="I61" s="110">
        <v>0</v>
      </c>
      <c r="J61" s="111">
        <f t="shared" si="0"/>
        <v>600</v>
      </c>
      <c r="K61" s="111">
        <v>0</v>
      </c>
      <c r="L61" s="111">
        <v>0</v>
      </c>
      <c r="M61" s="111">
        <v>0</v>
      </c>
      <c r="N61" s="111">
        <v>0</v>
      </c>
      <c r="O61" s="111">
        <f t="shared" si="1"/>
        <v>600</v>
      </c>
      <c r="P61" s="111">
        <v>0</v>
      </c>
      <c r="Q61" s="153">
        <v>0</v>
      </c>
      <c r="R61" s="111">
        <v>0</v>
      </c>
      <c r="S61" s="151">
        <v>176.3</v>
      </c>
      <c r="T61" s="112">
        <f t="shared" si="3"/>
        <v>423.7</v>
      </c>
      <c r="U61" s="53" t="s">
        <v>176</v>
      </c>
      <c r="V61" t="s">
        <v>197</v>
      </c>
      <c r="W61" s="53">
        <v>600</v>
      </c>
      <c r="X61" s="118">
        <v>-176.3</v>
      </c>
      <c r="Y61" t="s">
        <v>256</v>
      </c>
      <c r="Z61" s="168">
        <v>422.65</v>
      </c>
      <c r="AA61" s="123">
        <f t="shared" si="2"/>
        <v>1.0500000000000114</v>
      </c>
    </row>
    <row r="62" spans="1:27" ht="45.65" customHeight="1" x14ac:dyDescent="0.55000000000000004">
      <c r="A62" s="105">
        <v>54</v>
      </c>
      <c r="B62" s="106" t="s">
        <v>238</v>
      </c>
      <c r="C62" s="107" t="s">
        <v>214</v>
      </c>
      <c r="D62" s="108"/>
      <c r="E62" s="108" t="s">
        <v>191</v>
      </c>
      <c r="F62" s="107"/>
      <c r="G62" s="141">
        <v>422.6</v>
      </c>
      <c r="H62" s="110">
        <v>26</v>
      </c>
      <c r="I62" s="110">
        <v>0</v>
      </c>
      <c r="J62" s="111">
        <f t="shared" si="0"/>
        <v>422.6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422.6</v>
      </c>
      <c r="P62" s="111">
        <v>0</v>
      </c>
      <c r="Q62" s="111">
        <v>0</v>
      </c>
      <c r="R62" s="111">
        <v>0</v>
      </c>
      <c r="S62" s="111">
        <v>0</v>
      </c>
      <c r="T62" s="112">
        <f t="shared" si="3"/>
        <v>422.6</v>
      </c>
      <c r="U62" s="53"/>
      <c r="V62" t="s">
        <v>197</v>
      </c>
      <c r="W62" s="53"/>
      <c r="X62" s="118"/>
      <c r="Y62" t="s">
        <v>256</v>
      </c>
    </row>
    <row r="63" spans="1:27" ht="45.65" customHeight="1" x14ac:dyDescent="0.55000000000000004">
      <c r="A63" s="105">
        <v>55</v>
      </c>
      <c r="B63" s="106" t="s">
        <v>239</v>
      </c>
      <c r="C63" s="107" t="s">
        <v>175</v>
      </c>
      <c r="D63" s="108"/>
      <c r="E63" s="108" t="s">
        <v>192</v>
      </c>
      <c r="F63" s="107"/>
      <c r="G63" s="109">
        <v>300</v>
      </c>
      <c r="H63" s="110">
        <v>26</v>
      </c>
      <c r="I63" s="110">
        <v>0</v>
      </c>
      <c r="J63" s="111">
        <f t="shared" si="0"/>
        <v>300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300</v>
      </c>
      <c r="P63" s="111">
        <v>0</v>
      </c>
      <c r="Q63" s="153">
        <v>0</v>
      </c>
      <c r="R63" s="111">
        <v>0</v>
      </c>
      <c r="S63" s="151">
        <v>300</v>
      </c>
      <c r="T63" s="112">
        <f t="shared" si="3"/>
        <v>0</v>
      </c>
      <c r="U63" s="53" t="s">
        <v>176</v>
      </c>
      <c r="V63" t="s">
        <v>197</v>
      </c>
      <c r="W63" s="53">
        <v>300</v>
      </c>
      <c r="X63" s="118">
        <v>-300</v>
      </c>
      <c r="Y63" t="s">
        <v>256</v>
      </c>
    </row>
    <row r="64" spans="1:27" ht="45.65" customHeight="1" x14ac:dyDescent="0.55000000000000004">
      <c r="A64" s="105">
        <v>56</v>
      </c>
      <c r="B64" s="106" t="s">
        <v>240</v>
      </c>
      <c r="C64" s="107" t="s">
        <v>145</v>
      </c>
      <c r="D64" s="108"/>
      <c r="E64" s="108" t="s">
        <v>192</v>
      </c>
      <c r="F64" s="107"/>
      <c r="G64" s="109">
        <v>600</v>
      </c>
      <c r="H64" s="110">
        <v>26</v>
      </c>
      <c r="I64" s="110">
        <v>0</v>
      </c>
      <c r="J64" s="111">
        <f t="shared" si="0"/>
        <v>600</v>
      </c>
      <c r="K64" s="111">
        <v>0</v>
      </c>
      <c r="L64" s="111">
        <v>0</v>
      </c>
      <c r="M64" s="111">
        <v>0</v>
      </c>
      <c r="N64" s="111">
        <v>0</v>
      </c>
      <c r="O64" s="111">
        <f t="shared" si="1"/>
        <v>600</v>
      </c>
      <c r="P64" s="111">
        <v>0</v>
      </c>
      <c r="Q64" s="153">
        <v>0</v>
      </c>
      <c r="R64" s="111">
        <v>0</v>
      </c>
      <c r="S64" s="151">
        <v>600</v>
      </c>
      <c r="T64" s="112">
        <f t="shared" si="3"/>
        <v>0</v>
      </c>
      <c r="U64" s="52" t="s">
        <v>176</v>
      </c>
      <c r="V64" t="s">
        <v>197</v>
      </c>
      <c r="W64" s="53">
        <v>600</v>
      </c>
      <c r="X64" s="118">
        <v>-600</v>
      </c>
      <c r="Y64" t="s">
        <v>256</v>
      </c>
    </row>
    <row r="65" spans="1:24" ht="45.65" customHeight="1" x14ac:dyDescent="0.55000000000000004">
      <c r="A65" s="105">
        <v>57</v>
      </c>
      <c r="B65" s="106"/>
      <c r="C65" s="107"/>
      <c r="D65" s="108"/>
      <c r="E65" s="108"/>
      <c r="F65" s="107"/>
      <c r="G65" s="109"/>
      <c r="H65" s="110">
        <v>26</v>
      </c>
      <c r="I65" s="110">
        <v>0</v>
      </c>
      <c r="J65" s="111">
        <f t="shared" si="0"/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f t="shared" si="1"/>
        <v>0</v>
      </c>
      <c r="P65" s="111">
        <v>0</v>
      </c>
      <c r="Q65" s="111">
        <v>0</v>
      </c>
      <c r="R65" s="111">
        <v>0</v>
      </c>
      <c r="S65" s="111">
        <v>0</v>
      </c>
      <c r="T65" s="112">
        <f t="shared" si="3"/>
        <v>0</v>
      </c>
      <c r="U65" s="51"/>
      <c r="W65" s="53"/>
      <c r="X65" s="118"/>
    </row>
    <row r="66" spans="1:24" ht="45.65" customHeight="1" x14ac:dyDescent="0.55000000000000004">
      <c r="A66" s="105">
        <v>58</v>
      </c>
      <c r="B66" s="106"/>
      <c r="C66" s="107"/>
      <c r="D66" s="108"/>
      <c r="E66" s="108"/>
      <c r="F66" s="107"/>
      <c r="G66" s="109"/>
      <c r="H66" s="110">
        <v>26</v>
      </c>
      <c r="I66" s="110">
        <v>0</v>
      </c>
      <c r="J66" s="111">
        <f t="shared" si="0"/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f t="shared" si="1"/>
        <v>0</v>
      </c>
      <c r="P66" s="111">
        <v>0</v>
      </c>
      <c r="Q66" s="111">
        <v>0</v>
      </c>
      <c r="R66" s="111">
        <v>0</v>
      </c>
      <c r="S66" s="111">
        <v>0</v>
      </c>
      <c r="T66" s="112">
        <f t="shared" si="3"/>
        <v>0</v>
      </c>
      <c r="U66" s="51"/>
      <c r="W66" s="53"/>
      <c r="X66" s="118"/>
    </row>
    <row r="67" spans="1:24" ht="45.65" customHeight="1" thickBot="1" x14ac:dyDescent="0.6">
      <c r="A67" s="105">
        <v>59</v>
      </c>
      <c r="B67" s="106"/>
      <c r="C67" s="144"/>
      <c r="D67" s="145"/>
      <c r="E67" s="145"/>
      <c r="F67" s="144"/>
      <c r="G67" s="146"/>
      <c r="H67" s="147">
        <v>26</v>
      </c>
      <c r="I67" s="147">
        <v>0</v>
      </c>
      <c r="J67" s="148">
        <f t="shared" si="0"/>
        <v>0</v>
      </c>
      <c r="K67" s="148">
        <v>0</v>
      </c>
      <c r="L67" s="148">
        <v>0</v>
      </c>
      <c r="M67" s="148">
        <v>0</v>
      </c>
      <c r="N67" s="148">
        <v>0</v>
      </c>
      <c r="O67" s="148">
        <f t="shared" si="1"/>
        <v>0</v>
      </c>
      <c r="P67" s="148">
        <v>0</v>
      </c>
      <c r="Q67" s="148">
        <v>0</v>
      </c>
      <c r="R67" s="148">
        <v>0</v>
      </c>
      <c r="S67" s="148">
        <v>0</v>
      </c>
      <c r="T67" s="149">
        <f t="shared" si="3"/>
        <v>0</v>
      </c>
      <c r="U67" s="54"/>
      <c r="W67" s="53"/>
      <c r="X67" s="118"/>
    </row>
    <row r="68" spans="1:24" ht="50.15" customHeight="1" thickBot="1" x14ac:dyDescent="0.45">
      <c r="A68" s="157" t="s">
        <v>0</v>
      </c>
      <c r="B68" s="158"/>
      <c r="C68" s="158"/>
      <c r="D68" s="158"/>
      <c r="E68" s="158"/>
      <c r="F68" s="158"/>
      <c r="G68" s="158"/>
      <c r="H68" s="158"/>
      <c r="I68" s="159"/>
      <c r="J68" s="116">
        <f t="shared" ref="J68:T68" si="12">SUBTOTAL(9,J6:J67)</f>
        <v>14723.753846153846</v>
      </c>
      <c r="K68" s="116">
        <f t="shared" si="12"/>
        <v>0</v>
      </c>
      <c r="L68" s="116">
        <f t="shared" si="12"/>
        <v>405</v>
      </c>
      <c r="M68" s="116">
        <f t="shared" si="12"/>
        <v>0</v>
      </c>
      <c r="N68" s="116">
        <f t="shared" si="12"/>
        <v>300</v>
      </c>
      <c r="O68" s="116">
        <f t="shared" si="12"/>
        <v>15428.753846153846</v>
      </c>
      <c r="P68" s="116">
        <f t="shared" si="12"/>
        <v>0</v>
      </c>
      <c r="Q68" s="116">
        <f t="shared" si="12"/>
        <v>37.919999999999995</v>
      </c>
      <c r="R68" s="116">
        <f t="shared" si="12"/>
        <v>150</v>
      </c>
      <c r="S68" s="152">
        <f t="shared" si="12"/>
        <v>1276.3</v>
      </c>
      <c r="T68" s="124">
        <f t="shared" si="12"/>
        <v>13964.533846153847</v>
      </c>
      <c r="U68" s="116"/>
      <c r="W68" s="116">
        <f t="shared" ref="W68:X68" si="13">SUBTOTAL(9,W6:W67)</f>
        <v>2100</v>
      </c>
      <c r="X68" s="116">
        <f t="shared" si="13"/>
        <v>-1276.3</v>
      </c>
    </row>
    <row r="72" spans="1:24" x14ac:dyDescent="0.4">
      <c r="O72" s="123"/>
    </row>
  </sheetData>
  <autoFilter ref="A5:X67" xr:uid="{00000000-0001-0000-0300-000000000000}"/>
  <mergeCells count="17">
    <mergeCell ref="T4:T5"/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</mergeCells>
  <conditionalFormatting sqref="C6:C67">
    <cfRule type="duplicateValues" dxfId="11" priority="825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DDE-3FFE-4B18-A995-748FB1574ABE}">
  <sheetPr>
    <pageSetUpPr fitToPage="1"/>
  </sheetPr>
  <dimension ref="A1:U66"/>
  <sheetViews>
    <sheetView topLeftCell="G1" zoomScale="70" zoomScaleNormal="70" workbookViewId="0">
      <pane ySplit="5" topLeftCell="A6" activePane="bottomLeft" state="frozen"/>
      <selection activeCell="O61" sqref="O61:Z61"/>
      <selection pane="bottomLeft" activeCell="T6" sqref="T6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36.3046875" customWidth="1"/>
  </cols>
  <sheetData>
    <row r="1" spans="1:21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</row>
    <row r="2" spans="1:21" ht="53.15" customHeight="1" thickBot="1" x14ac:dyDescent="0.45">
      <c r="A2" s="247" t="s">
        <v>307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</row>
    <row r="3" spans="1:21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</row>
    <row r="4" spans="1:21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</row>
    <row r="5" spans="1:21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</row>
    <row r="6" spans="1:21" ht="45.65" customHeight="1" x14ac:dyDescent="0.55000000000000004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</row>
    <row r="7" spans="1:21" ht="45.65" customHeight="1" x14ac:dyDescent="0.55000000000000004">
      <c r="A7" s="105">
        <v>2</v>
      </c>
      <c r="B7" s="106" t="s">
        <v>216</v>
      </c>
      <c r="C7" s="122" t="s">
        <v>198</v>
      </c>
      <c r="D7" s="121" t="s">
        <v>177</v>
      </c>
      <c r="E7" s="121" t="s">
        <v>185</v>
      </c>
      <c r="F7" s="122" t="s">
        <v>146</v>
      </c>
      <c r="G7" s="113">
        <v>410</v>
      </c>
      <c r="H7" s="110">
        <v>26</v>
      </c>
      <c r="I7" s="110">
        <v>0</v>
      </c>
      <c r="J7" s="111">
        <v>800</v>
      </c>
      <c r="K7" s="111">
        <v>0</v>
      </c>
      <c r="L7" s="111">
        <v>0</v>
      </c>
      <c r="M7" s="111">
        <v>0</v>
      </c>
      <c r="N7" s="111">
        <v>0</v>
      </c>
      <c r="O7" s="111">
        <f>J7+K7+L7+M7+N7</f>
        <v>800</v>
      </c>
      <c r="P7" s="111">
        <v>0</v>
      </c>
      <c r="Q7" s="111">
        <v>0</v>
      </c>
      <c r="R7" s="111">
        <v>0</v>
      </c>
      <c r="S7" s="151">
        <v>390</v>
      </c>
      <c r="T7" s="112">
        <f>O7-P7-Q7-R7-S7</f>
        <v>410</v>
      </c>
      <c r="U7" s="52" t="s">
        <v>176</v>
      </c>
    </row>
    <row r="8" spans="1:21" ht="45.65" customHeight="1" x14ac:dyDescent="0.55000000000000004">
      <c r="A8" s="105">
        <v>3</v>
      </c>
      <c r="B8" s="106" t="s">
        <v>263</v>
      </c>
      <c r="C8" s="120" t="s">
        <v>244</v>
      </c>
      <c r="D8" s="121" t="s">
        <v>178</v>
      </c>
      <c r="E8" s="121" t="s">
        <v>186</v>
      </c>
      <c r="F8" s="120"/>
      <c r="G8" s="106">
        <v>150</v>
      </c>
      <c r="H8" s="110">
        <v>26</v>
      </c>
      <c r="I8" s="110">
        <v>0</v>
      </c>
      <c r="J8" s="111">
        <f t="shared" si="0"/>
        <v>150</v>
      </c>
      <c r="K8" s="111">
        <v>0</v>
      </c>
      <c r="L8" s="111">
        <v>0</v>
      </c>
      <c r="M8" s="111">
        <v>0</v>
      </c>
      <c r="N8" s="111">
        <v>0</v>
      </c>
      <c r="O8" s="111">
        <f t="shared" ref="O8:O61" si="1">J8+K8+L8+M8+N8</f>
        <v>150</v>
      </c>
      <c r="P8" s="111">
        <v>0</v>
      </c>
      <c r="Q8" s="111">
        <v>0</v>
      </c>
      <c r="R8" s="111">
        <v>0</v>
      </c>
      <c r="S8" s="111">
        <v>0</v>
      </c>
      <c r="T8" s="112">
        <f>O8-P8-Q8-R8-S8</f>
        <v>150</v>
      </c>
      <c r="U8" s="51"/>
    </row>
    <row r="9" spans="1:21" ht="45.65" customHeight="1" x14ac:dyDescent="0.55000000000000004">
      <c r="A9" s="105">
        <f>A8+1</f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0" si="2">O9-P9-Q9-R9-S9</f>
        <v>255.00000000000003</v>
      </c>
      <c r="U9" s="53"/>
    </row>
    <row r="10" spans="1:21" ht="45.65" customHeight="1" x14ac:dyDescent="0.55000000000000004">
      <c r="A10" s="105">
        <f t="shared" ref="A10:A61" si="3">A9+1</f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2"/>
        <v>150</v>
      </c>
      <c r="U10" s="53"/>
    </row>
    <row r="11" spans="1:21" ht="45.65" customHeight="1" x14ac:dyDescent="0.55000000000000004">
      <c r="A11" s="105">
        <f t="shared" si="3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0</v>
      </c>
      <c r="R11" s="111">
        <v>0</v>
      </c>
      <c r="S11" s="111">
        <v>0</v>
      </c>
      <c r="T11" s="112">
        <f t="shared" si="2"/>
        <v>430.00000000000006</v>
      </c>
      <c r="U11" s="53"/>
    </row>
    <row r="12" spans="1:21" ht="45.65" customHeight="1" x14ac:dyDescent="0.55000000000000004">
      <c r="A12" s="105">
        <f t="shared" si="3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2"/>
        <v>189.99999999999997</v>
      </c>
      <c r="U12" s="53"/>
    </row>
    <row r="13" spans="1:21" ht="45.65" customHeight="1" x14ac:dyDescent="0.55000000000000004">
      <c r="A13" s="105">
        <f t="shared" si="3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2"/>
        <v>330</v>
      </c>
      <c r="U13" s="53"/>
    </row>
    <row r="14" spans="1:21" ht="45.65" customHeight="1" x14ac:dyDescent="0.55000000000000004">
      <c r="A14" s="105">
        <f t="shared" si="3"/>
        <v>9</v>
      </c>
      <c r="B14" s="106" t="s">
        <v>219</v>
      </c>
      <c r="C14" s="120" t="s">
        <v>105</v>
      </c>
      <c r="D14" s="121" t="s">
        <v>177</v>
      </c>
      <c r="E14" s="121" t="s">
        <v>185</v>
      </c>
      <c r="F14" s="120" t="s">
        <v>150</v>
      </c>
      <c r="G14" s="106">
        <v>200</v>
      </c>
      <c r="H14" s="110">
        <v>26</v>
      </c>
      <c r="I14" s="110">
        <v>0</v>
      </c>
      <c r="J14" s="111">
        <f t="shared" si="0"/>
        <v>200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200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2"/>
        <v>200</v>
      </c>
      <c r="U14" s="53"/>
    </row>
    <row r="15" spans="1:21" ht="45.65" customHeight="1" x14ac:dyDescent="0.55000000000000004">
      <c r="A15" s="105">
        <f t="shared" si="3"/>
        <v>10</v>
      </c>
      <c r="B15" s="106" t="s">
        <v>220</v>
      </c>
      <c r="C15" s="120" t="s">
        <v>200</v>
      </c>
      <c r="D15" s="121" t="s">
        <v>177</v>
      </c>
      <c r="E15" s="121" t="s">
        <v>188</v>
      </c>
      <c r="F15" s="120" t="s">
        <v>151</v>
      </c>
      <c r="G15" s="106">
        <v>430</v>
      </c>
      <c r="H15" s="110">
        <v>26</v>
      </c>
      <c r="I15" s="110">
        <v>0</v>
      </c>
      <c r="J15" s="111">
        <f t="shared" si="0"/>
        <v>430.00000000000006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430.00000000000006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2"/>
        <v>430.00000000000006</v>
      </c>
      <c r="U15" s="53"/>
    </row>
    <row r="16" spans="1:21" ht="45.65" customHeight="1" x14ac:dyDescent="0.55000000000000004">
      <c r="A16" s="105">
        <f t="shared" si="3"/>
        <v>11</v>
      </c>
      <c r="B16" s="106" t="s">
        <v>221</v>
      </c>
      <c r="C16" s="120" t="s">
        <v>201</v>
      </c>
      <c r="D16" s="121" t="s">
        <v>177</v>
      </c>
      <c r="E16" s="121" t="s">
        <v>185</v>
      </c>
      <c r="F16" s="120" t="s">
        <v>152</v>
      </c>
      <c r="G16" s="106">
        <v>450</v>
      </c>
      <c r="H16" s="110">
        <v>26</v>
      </c>
      <c r="I16" s="110">
        <v>0</v>
      </c>
      <c r="J16" s="111">
        <f t="shared" si="0"/>
        <v>450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450</v>
      </c>
      <c r="P16" s="111">
        <v>0</v>
      </c>
      <c r="Q16" s="111">
        <v>0</v>
      </c>
      <c r="R16" s="111">
        <v>50</v>
      </c>
      <c r="S16" s="111">
        <v>0</v>
      </c>
      <c r="T16" s="112">
        <f t="shared" si="2"/>
        <v>400</v>
      </c>
      <c r="U16" s="53"/>
    </row>
    <row r="17" spans="1:21" ht="45.65" customHeight="1" x14ac:dyDescent="0.55000000000000004">
      <c r="A17" s="105">
        <f t="shared" si="3"/>
        <v>12</v>
      </c>
      <c r="B17" s="106" t="s">
        <v>222</v>
      </c>
      <c r="C17" s="120" t="s">
        <v>202</v>
      </c>
      <c r="D17" s="121" t="s">
        <v>178</v>
      </c>
      <c r="E17" s="121" t="s">
        <v>185</v>
      </c>
      <c r="F17" s="120" t="s">
        <v>153</v>
      </c>
      <c r="G17" s="106">
        <v>300</v>
      </c>
      <c r="H17" s="110">
        <v>26</v>
      </c>
      <c r="I17" s="110">
        <v>0</v>
      </c>
      <c r="J17" s="111">
        <f t="shared" si="0"/>
        <v>300</v>
      </c>
      <c r="K17" s="111">
        <v>0</v>
      </c>
      <c r="L17" s="111">
        <v>0</v>
      </c>
      <c r="M17" s="111">
        <v>0</v>
      </c>
      <c r="N17" s="126">
        <v>300</v>
      </c>
      <c r="O17" s="111">
        <f t="shared" si="1"/>
        <v>600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2"/>
        <v>600</v>
      </c>
      <c r="U17" s="53"/>
    </row>
    <row r="18" spans="1:21" ht="45.65" customHeight="1" x14ac:dyDescent="0.55000000000000004">
      <c r="A18" s="105">
        <f t="shared" si="3"/>
        <v>13</v>
      </c>
      <c r="B18" s="106" t="s">
        <v>223</v>
      </c>
      <c r="C18" s="120" t="s">
        <v>109</v>
      </c>
      <c r="D18" s="121" t="s">
        <v>181</v>
      </c>
      <c r="E18" s="121" t="s">
        <v>185</v>
      </c>
      <c r="F18" s="120" t="s">
        <v>154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300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2"/>
        <v>300</v>
      </c>
      <c r="U18" s="53"/>
    </row>
    <row r="19" spans="1:21" ht="45.65" customHeight="1" x14ac:dyDescent="0.55000000000000004">
      <c r="A19" s="105">
        <f t="shared" si="3"/>
        <v>14</v>
      </c>
      <c r="B19" s="106" t="s">
        <v>224</v>
      </c>
      <c r="C19" s="120" t="s">
        <v>204</v>
      </c>
      <c r="D19" s="121" t="s">
        <v>181</v>
      </c>
      <c r="E19" s="121" t="s">
        <v>185</v>
      </c>
      <c r="F19" s="120"/>
      <c r="G19" s="106">
        <v>250</v>
      </c>
      <c r="H19" s="110">
        <v>26</v>
      </c>
      <c r="I19" s="110">
        <v>0</v>
      </c>
      <c r="J19" s="111">
        <f t="shared" si="0"/>
        <v>250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250</v>
      </c>
      <c r="P19" s="111">
        <v>0</v>
      </c>
      <c r="Q19" s="111">
        <v>0</v>
      </c>
      <c r="R19" s="111"/>
      <c r="S19" s="111">
        <v>0</v>
      </c>
      <c r="T19" s="112">
        <f t="shared" si="2"/>
        <v>250</v>
      </c>
      <c r="U19" s="53"/>
    </row>
    <row r="20" spans="1:21" ht="45.65" customHeight="1" x14ac:dyDescent="0.55000000000000004">
      <c r="A20" s="105">
        <f t="shared" si="3"/>
        <v>15</v>
      </c>
      <c r="B20" s="106" t="s">
        <v>268</v>
      </c>
      <c r="C20" s="120" t="s">
        <v>111</v>
      </c>
      <c r="D20" s="121" t="s">
        <v>182</v>
      </c>
      <c r="E20" s="121" t="s">
        <v>185</v>
      </c>
      <c r="F20" s="120"/>
      <c r="G20" s="106">
        <v>100</v>
      </c>
      <c r="H20" s="110">
        <v>26</v>
      </c>
      <c r="I20" s="110">
        <v>0</v>
      </c>
      <c r="J20" s="111">
        <f t="shared" si="0"/>
        <v>100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100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2"/>
        <v>100</v>
      </c>
      <c r="U20" s="53"/>
    </row>
    <row r="21" spans="1:21" ht="45.65" customHeight="1" x14ac:dyDescent="0.55000000000000004">
      <c r="A21" s="105">
        <f t="shared" si="3"/>
        <v>16</v>
      </c>
      <c r="B21" s="106" t="s">
        <v>269</v>
      </c>
      <c r="C21" s="120" t="s">
        <v>112</v>
      </c>
      <c r="D21" s="121" t="s">
        <v>177</v>
      </c>
      <c r="E21" s="121" t="s">
        <v>189</v>
      </c>
      <c r="F21" s="120" t="s">
        <v>155</v>
      </c>
      <c r="G21" s="106">
        <v>450</v>
      </c>
      <c r="H21" s="110">
        <v>26</v>
      </c>
      <c r="I21" s="110">
        <v>0</v>
      </c>
      <c r="J21" s="111">
        <f t="shared" si="0"/>
        <v>450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450</v>
      </c>
      <c r="P21" s="111">
        <v>0</v>
      </c>
      <c r="Q21" s="111">
        <v>0</v>
      </c>
      <c r="R21" s="111">
        <v>50</v>
      </c>
      <c r="S21" s="111">
        <v>0</v>
      </c>
      <c r="T21" s="112">
        <f t="shared" si="2"/>
        <v>400</v>
      </c>
      <c r="U21" s="53"/>
    </row>
    <row r="22" spans="1:21" ht="45.65" customHeight="1" x14ac:dyDescent="0.55000000000000004">
      <c r="A22" s="105">
        <f t="shared" si="3"/>
        <v>17</v>
      </c>
      <c r="B22" s="106" t="s">
        <v>270</v>
      </c>
      <c r="C22" s="120" t="s">
        <v>114</v>
      </c>
      <c r="D22" s="121" t="s">
        <v>180</v>
      </c>
      <c r="E22" s="121" t="s">
        <v>185</v>
      </c>
      <c r="F22" s="120" t="s">
        <v>157</v>
      </c>
      <c r="G22" s="106">
        <v>50</v>
      </c>
      <c r="H22" s="184">
        <v>0</v>
      </c>
      <c r="I22" s="110">
        <v>0</v>
      </c>
      <c r="J22" s="153">
        <f t="shared" si="0"/>
        <v>0</v>
      </c>
      <c r="K22" s="111">
        <v>0</v>
      </c>
      <c r="L22" s="153">
        <v>0</v>
      </c>
      <c r="M22" s="153">
        <v>0</v>
      </c>
      <c r="N22" s="153">
        <v>0</v>
      </c>
      <c r="O22" s="111">
        <f t="shared" si="1"/>
        <v>0</v>
      </c>
      <c r="P22" s="153">
        <v>0</v>
      </c>
      <c r="Q22" s="111">
        <v>0</v>
      </c>
      <c r="R22" s="153">
        <v>0</v>
      </c>
      <c r="S22" s="153">
        <v>0</v>
      </c>
      <c r="T22" s="185">
        <f t="shared" si="2"/>
        <v>0</v>
      </c>
      <c r="U22" s="187"/>
    </row>
    <row r="23" spans="1:21" ht="45.65" customHeight="1" x14ac:dyDescent="0.55000000000000004">
      <c r="A23" s="105">
        <f t="shared" si="3"/>
        <v>18</v>
      </c>
      <c r="B23" s="106" t="s">
        <v>272</v>
      </c>
      <c r="C23" s="120" t="s">
        <v>115</v>
      </c>
      <c r="D23" s="121" t="s">
        <v>180</v>
      </c>
      <c r="E23" s="121" t="s">
        <v>185</v>
      </c>
      <c r="F23" s="120" t="s">
        <v>158</v>
      </c>
      <c r="G23" s="106">
        <v>150</v>
      </c>
      <c r="H23" s="110">
        <v>26</v>
      </c>
      <c r="I23" s="110">
        <v>0</v>
      </c>
      <c r="J23" s="111">
        <f t="shared" si="0"/>
        <v>150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150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2"/>
        <v>150</v>
      </c>
      <c r="U23" s="53"/>
    </row>
    <row r="24" spans="1:21" ht="45.65" customHeight="1" x14ac:dyDescent="0.55000000000000004">
      <c r="A24" s="105">
        <f t="shared" si="3"/>
        <v>19</v>
      </c>
      <c r="B24" s="106" t="s">
        <v>226</v>
      </c>
      <c r="C24" s="120" t="s">
        <v>206</v>
      </c>
      <c r="D24" s="121" t="s">
        <v>183</v>
      </c>
      <c r="E24" s="121" t="s">
        <v>185</v>
      </c>
      <c r="F24" s="120"/>
      <c r="G24" s="106">
        <v>150</v>
      </c>
      <c r="H24" s="110">
        <v>26</v>
      </c>
      <c r="I24" s="110">
        <v>0</v>
      </c>
      <c r="J24" s="111">
        <f t="shared" si="0"/>
        <v>150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150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2"/>
        <v>150</v>
      </c>
      <c r="U24" s="53"/>
    </row>
    <row r="25" spans="1:21" ht="45.65" customHeight="1" x14ac:dyDescent="0.55000000000000004">
      <c r="A25" s="105">
        <f t="shared" si="3"/>
        <v>20</v>
      </c>
      <c r="B25" s="106" t="s">
        <v>227</v>
      </c>
      <c r="C25" s="120" t="s">
        <v>207</v>
      </c>
      <c r="D25" s="121" t="s">
        <v>183</v>
      </c>
      <c r="E25" s="121" t="s">
        <v>185</v>
      </c>
      <c r="F25" s="120"/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2"/>
        <v>150</v>
      </c>
      <c r="U25" s="53"/>
    </row>
    <row r="26" spans="1:21" ht="45.65" customHeight="1" x14ac:dyDescent="0.55000000000000004">
      <c r="A26" s="105">
        <f t="shared" si="3"/>
        <v>21</v>
      </c>
      <c r="B26" s="106" t="s">
        <v>306</v>
      </c>
      <c r="C26" s="120" t="s">
        <v>300</v>
      </c>
      <c r="D26" s="121" t="s">
        <v>181</v>
      </c>
      <c r="E26" s="121" t="s">
        <v>185</v>
      </c>
      <c r="F26" s="120"/>
      <c r="G26" s="106">
        <v>100</v>
      </c>
      <c r="H26" s="110">
        <v>26</v>
      </c>
      <c r="I26" s="110">
        <v>0</v>
      </c>
      <c r="J26" s="111">
        <f t="shared" si="0"/>
        <v>100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100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2"/>
        <v>100</v>
      </c>
      <c r="U26" s="53"/>
    </row>
    <row r="27" spans="1:21" ht="45.65" customHeight="1" x14ac:dyDescent="0.55000000000000004">
      <c r="A27" s="105">
        <f t="shared" si="3"/>
        <v>22</v>
      </c>
      <c r="B27" s="106" t="s">
        <v>274</v>
      </c>
      <c r="C27" s="120" t="s">
        <v>119</v>
      </c>
      <c r="D27" s="121" t="s">
        <v>183</v>
      </c>
      <c r="E27" s="121" t="s">
        <v>185</v>
      </c>
      <c r="F27" s="120" t="s">
        <v>93</v>
      </c>
      <c r="G27" s="106">
        <v>80</v>
      </c>
      <c r="H27" s="110">
        <v>26</v>
      </c>
      <c r="I27" s="110">
        <v>0</v>
      </c>
      <c r="J27" s="111">
        <f t="shared" si="0"/>
        <v>80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80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2"/>
        <v>80</v>
      </c>
      <c r="U27" s="53"/>
    </row>
    <row r="28" spans="1:21" ht="45.65" customHeight="1" x14ac:dyDescent="0.55000000000000004">
      <c r="A28" s="105">
        <f t="shared" si="3"/>
        <v>23</v>
      </c>
      <c r="B28" s="106" t="s">
        <v>275</v>
      </c>
      <c r="C28" s="120" t="s">
        <v>120</v>
      </c>
      <c r="D28" s="121" t="s">
        <v>177</v>
      </c>
      <c r="E28" s="121" t="s">
        <v>190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2"/>
        <v>150</v>
      </c>
      <c r="U28" s="53"/>
    </row>
    <row r="29" spans="1:21" ht="45.65" customHeight="1" x14ac:dyDescent="0.55000000000000004">
      <c r="A29" s="105">
        <f t="shared" si="3"/>
        <v>24</v>
      </c>
      <c r="B29" s="106" t="s">
        <v>228</v>
      </c>
      <c r="C29" s="120" t="s">
        <v>208</v>
      </c>
      <c r="D29" s="121" t="s">
        <v>183</v>
      </c>
      <c r="E29" s="121" t="s">
        <v>189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2"/>
        <v>150</v>
      </c>
      <c r="U29" s="53"/>
    </row>
    <row r="30" spans="1:21" ht="45.65" customHeight="1" x14ac:dyDescent="0.55000000000000004">
      <c r="A30" s="105">
        <f t="shared" si="3"/>
        <v>25</v>
      </c>
      <c r="B30" s="106" t="s">
        <v>276</v>
      </c>
      <c r="C30" s="120" t="s">
        <v>122</v>
      </c>
      <c r="D30" s="121" t="s">
        <v>181</v>
      </c>
      <c r="E30" s="121" t="s">
        <v>189</v>
      </c>
      <c r="F30" s="120"/>
      <c r="G30" s="106">
        <v>200</v>
      </c>
      <c r="H30" s="110">
        <v>26</v>
      </c>
      <c r="I30" s="110">
        <v>0</v>
      </c>
      <c r="J30" s="111">
        <f t="shared" si="0"/>
        <v>200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200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2"/>
        <v>200</v>
      </c>
      <c r="U30" s="53"/>
    </row>
    <row r="31" spans="1:21" ht="45.65" customHeight="1" x14ac:dyDescent="0.55000000000000004">
      <c r="A31" s="105">
        <f t="shared" si="3"/>
        <v>26</v>
      </c>
      <c r="B31" s="106" t="s">
        <v>277</v>
      </c>
      <c r="C31" s="120" t="s">
        <v>123</v>
      </c>
      <c r="D31" s="121" t="s">
        <v>181</v>
      </c>
      <c r="E31" s="121" t="s">
        <v>185</v>
      </c>
      <c r="F31" s="120"/>
      <c r="G31" s="106">
        <v>250</v>
      </c>
      <c r="H31" s="110">
        <v>26</v>
      </c>
      <c r="I31" s="110">
        <v>0</v>
      </c>
      <c r="J31" s="111">
        <f t="shared" si="0"/>
        <v>250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250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2"/>
        <v>250</v>
      </c>
      <c r="U31" s="53"/>
    </row>
    <row r="32" spans="1:21" ht="45.65" customHeight="1" x14ac:dyDescent="0.55000000000000004">
      <c r="A32" s="105">
        <f t="shared" si="3"/>
        <v>27</v>
      </c>
      <c r="B32" s="106" t="s">
        <v>230</v>
      </c>
      <c r="C32" s="120" t="s">
        <v>125</v>
      </c>
      <c r="D32" s="121" t="s">
        <v>177</v>
      </c>
      <c r="E32" s="121" t="s">
        <v>185</v>
      </c>
      <c r="F32" s="120" t="s">
        <v>160</v>
      </c>
      <c r="G32" s="106">
        <v>270</v>
      </c>
      <c r="H32" s="110">
        <v>26</v>
      </c>
      <c r="I32" s="110">
        <v>0</v>
      </c>
      <c r="J32" s="111">
        <f t="shared" si="0"/>
        <v>270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270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2"/>
        <v>270</v>
      </c>
      <c r="U32" s="53"/>
    </row>
    <row r="33" spans="1:21" ht="45.65" customHeight="1" x14ac:dyDescent="0.55000000000000004">
      <c r="A33" s="105">
        <f t="shared" si="3"/>
        <v>28</v>
      </c>
      <c r="B33" s="106" t="s">
        <v>278</v>
      </c>
      <c r="C33" s="120" t="s">
        <v>247</v>
      </c>
      <c r="D33" s="121" t="s">
        <v>178</v>
      </c>
      <c r="E33" s="121" t="s">
        <v>185</v>
      </c>
      <c r="F33" s="120"/>
      <c r="G33" s="106">
        <v>280</v>
      </c>
      <c r="H33" s="110">
        <v>26</v>
      </c>
      <c r="I33" s="110">
        <v>0</v>
      </c>
      <c r="J33" s="111">
        <f t="shared" si="0"/>
        <v>280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280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2"/>
        <v>280</v>
      </c>
      <c r="U33" s="53"/>
    </row>
    <row r="34" spans="1:21" ht="45.65" customHeight="1" x14ac:dyDescent="0.55000000000000004">
      <c r="A34" s="105">
        <f t="shared" si="3"/>
        <v>29</v>
      </c>
      <c r="B34" s="106" t="s">
        <v>231</v>
      </c>
      <c r="C34" s="120" t="s">
        <v>211</v>
      </c>
      <c r="D34" s="121" t="s">
        <v>177</v>
      </c>
      <c r="E34" s="121" t="s">
        <v>185</v>
      </c>
      <c r="F34" s="120"/>
      <c r="G34" s="106">
        <v>800</v>
      </c>
      <c r="H34" s="110">
        <v>26</v>
      </c>
      <c r="I34" s="110">
        <v>0</v>
      </c>
      <c r="J34" s="111">
        <f t="shared" si="0"/>
        <v>800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800</v>
      </c>
      <c r="P34" s="111">
        <v>0</v>
      </c>
      <c r="Q34" s="111">
        <v>0</v>
      </c>
      <c r="R34" s="111">
        <v>0</v>
      </c>
      <c r="S34" s="151">
        <v>400</v>
      </c>
      <c r="T34" s="112">
        <f t="shared" si="2"/>
        <v>400</v>
      </c>
      <c r="U34" s="53" t="s">
        <v>176</v>
      </c>
    </row>
    <row r="35" spans="1:21" ht="45.65" customHeight="1" x14ac:dyDescent="0.55000000000000004">
      <c r="A35" s="105">
        <f t="shared" si="3"/>
        <v>30</v>
      </c>
      <c r="B35" s="106" t="s">
        <v>232</v>
      </c>
      <c r="C35" s="120" t="s">
        <v>248</v>
      </c>
      <c r="D35" s="121" t="s">
        <v>177</v>
      </c>
      <c r="E35" s="121" t="s">
        <v>191</v>
      </c>
      <c r="F35" s="120" t="s">
        <v>162</v>
      </c>
      <c r="G35" s="106">
        <v>450</v>
      </c>
      <c r="H35" s="184">
        <v>26</v>
      </c>
      <c r="I35" s="110">
        <v>0</v>
      </c>
      <c r="J35" s="153">
        <v>600</v>
      </c>
      <c r="K35" s="111">
        <v>0</v>
      </c>
      <c r="L35" s="153">
        <v>0</v>
      </c>
      <c r="M35" s="153">
        <v>0</v>
      </c>
      <c r="N35" s="153">
        <v>0</v>
      </c>
      <c r="O35" s="111">
        <f t="shared" si="1"/>
        <v>600</v>
      </c>
      <c r="P35" s="153">
        <v>0</v>
      </c>
      <c r="Q35" s="111">
        <v>0</v>
      </c>
      <c r="R35" s="153">
        <v>0</v>
      </c>
      <c r="S35" s="151">
        <v>150</v>
      </c>
      <c r="T35" s="185">
        <f t="shared" si="2"/>
        <v>450</v>
      </c>
      <c r="U35" s="53" t="s">
        <v>176</v>
      </c>
    </row>
    <row r="36" spans="1:21" ht="45.65" customHeight="1" x14ac:dyDescent="0.55000000000000004">
      <c r="A36" s="105">
        <f t="shared" si="3"/>
        <v>31</v>
      </c>
      <c r="B36" s="106" t="s">
        <v>233</v>
      </c>
      <c r="C36" s="120" t="s">
        <v>130</v>
      </c>
      <c r="D36" s="121" t="s">
        <v>177</v>
      </c>
      <c r="E36" s="121" t="s">
        <v>191</v>
      </c>
      <c r="F36" s="120" t="s">
        <v>172</v>
      </c>
      <c r="G36" s="106">
        <v>550</v>
      </c>
      <c r="H36" s="110">
        <v>26</v>
      </c>
      <c r="I36" s="110">
        <v>0</v>
      </c>
      <c r="J36" s="111">
        <f t="shared" si="0"/>
        <v>550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550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2"/>
        <v>550</v>
      </c>
      <c r="U36" s="53"/>
    </row>
    <row r="37" spans="1:21" ht="45.65" customHeight="1" x14ac:dyDescent="0.55000000000000004">
      <c r="A37" s="105">
        <f t="shared" si="3"/>
        <v>32</v>
      </c>
      <c r="B37" s="106" t="s">
        <v>235</v>
      </c>
      <c r="C37" s="120" t="s">
        <v>132</v>
      </c>
      <c r="D37" s="121" t="s">
        <v>177</v>
      </c>
      <c r="E37" s="121" t="s">
        <v>191</v>
      </c>
      <c r="F37" s="120" t="s">
        <v>163</v>
      </c>
      <c r="G37" s="106">
        <v>450</v>
      </c>
      <c r="H37" s="110">
        <v>26</v>
      </c>
      <c r="I37" s="110">
        <v>0</v>
      </c>
      <c r="J37" s="111">
        <f t="shared" si="0"/>
        <v>450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450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2"/>
        <v>450</v>
      </c>
      <c r="U37" s="53"/>
    </row>
    <row r="38" spans="1:21" ht="45.65" customHeight="1" x14ac:dyDescent="0.55000000000000004">
      <c r="A38" s="105">
        <f t="shared" si="3"/>
        <v>33</v>
      </c>
      <c r="B38" s="106" t="s">
        <v>236</v>
      </c>
      <c r="C38" s="120" t="s">
        <v>133</v>
      </c>
      <c r="D38" s="121" t="s">
        <v>178</v>
      </c>
      <c r="E38" s="121" t="s">
        <v>185</v>
      </c>
      <c r="F38" s="120" t="s">
        <v>164</v>
      </c>
      <c r="G38" s="106">
        <v>260</v>
      </c>
      <c r="H38" s="110">
        <v>26</v>
      </c>
      <c r="I38" s="110">
        <v>0</v>
      </c>
      <c r="J38" s="111">
        <f t="shared" si="0"/>
        <v>260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260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2"/>
        <v>260</v>
      </c>
      <c r="U38" s="53"/>
    </row>
    <row r="39" spans="1:21" ht="45.65" customHeight="1" x14ac:dyDescent="0.55000000000000004">
      <c r="A39" s="105">
        <f t="shared" si="3"/>
        <v>34</v>
      </c>
      <c r="B39" s="113" t="s">
        <v>267</v>
      </c>
      <c r="C39" s="122" t="s">
        <v>104</v>
      </c>
      <c r="D39" s="121" t="s">
        <v>178</v>
      </c>
      <c r="E39" s="121" t="s">
        <v>185</v>
      </c>
      <c r="F39" s="122" t="s">
        <v>89</v>
      </c>
      <c r="G39" s="113">
        <v>160</v>
      </c>
      <c r="H39" s="184">
        <v>26</v>
      </c>
      <c r="I39" s="110">
        <v>0</v>
      </c>
      <c r="J39" s="153">
        <f t="shared" ref="J39" si="4">G39/26*H39</f>
        <v>160</v>
      </c>
      <c r="K39" s="111">
        <v>0</v>
      </c>
      <c r="L39" s="153">
        <v>0</v>
      </c>
      <c r="M39" s="153">
        <v>0</v>
      </c>
      <c r="N39" s="153">
        <v>0</v>
      </c>
      <c r="O39" s="111">
        <f t="shared" si="1"/>
        <v>160</v>
      </c>
      <c r="P39" s="153">
        <v>0</v>
      </c>
      <c r="Q39" s="111">
        <v>0</v>
      </c>
      <c r="R39" s="153">
        <v>0</v>
      </c>
      <c r="S39" s="153">
        <v>0</v>
      </c>
      <c r="T39" s="185">
        <f t="shared" ref="T39" si="5">O39-P39-Q39-R39-S39</f>
        <v>160</v>
      </c>
      <c r="U39" s="53"/>
    </row>
    <row r="40" spans="1:21" s="186" customFormat="1" ht="45.65" customHeight="1" x14ac:dyDescent="0.55000000000000004">
      <c r="A40" s="105">
        <f t="shared" si="3"/>
        <v>35</v>
      </c>
      <c r="B40" s="106" t="s">
        <v>284</v>
      </c>
      <c r="C40" s="120" t="s">
        <v>137</v>
      </c>
      <c r="D40" s="121" t="s">
        <v>184</v>
      </c>
      <c r="E40" s="121" t="s">
        <v>185</v>
      </c>
      <c r="F40" s="120" t="s">
        <v>165</v>
      </c>
      <c r="G40" s="106">
        <v>240</v>
      </c>
      <c r="H40" s="110">
        <v>26</v>
      </c>
      <c r="I40" s="110">
        <v>0</v>
      </c>
      <c r="J40" s="111">
        <f>G40/26*H40</f>
        <v>239.99999999999997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239.99999999999997</v>
      </c>
      <c r="P40" s="111">
        <v>0</v>
      </c>
      <c r="Q40" s="111">
        <v>0</v>
      </c>
      <c r="R40" s="111">
        <v>0</v>
      </c>
      <c r="S40" s="111">
        <v>0</v>
      </c>
      <c r="T40" s="112">
        <f>O40-P40-Q40-R40-S40</f>
        <v>239.99999999999997</v>
      </c>
      <c r="U40" s="53"/>
    </row>
    <row r="41" spans="1:21" s="186" customFormat="1" ht="45.65" customHeight="1" x14ac:dyDescent="0.55000000000000004">
      <c r="A41" s="105">
        <f t="shared" si="3"/>
        <v>36</v>
      </c>
      <c r="B41" s="106" t="s">
        <v>285</v>
      </c>
      <c r="C41" s="120" t="s">
        <v>138</v>
      </c>
      <c r="D41" s="121" t="s">
        <v>184</v>
      </c>
      <c r="E41" s="121" t="s">
        <v>185</v>
      </c>
      <c r="F41" s="120" t="s">
        <v>165</v>
      </c>
      <c r="G41" s="106">
        <v>120</v>
      </c>
      <c r="H41" s="110">
        <v>26</v>
      </c>
      <c r="I41" s="110">
        <v>0</v>
      </c>
      <c r="J41" s="111">
        <f>G41/26*H41</f>
        <v>119.99999999999999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119.99999999999999</v>
      </c>
      <c r="P41" s="111">
        <v>0</v>
      </c>
      <c r="Q41" s="111">
        <v>0</v>
      </c>
      <c r="R41" s="111">
        <v>0</v>
      </c>
      <c r="S41" s="111">
        <v>0</v>
      </c>
      <c r="T41" s="112">
        <f>O41-P41-Q41-R41-S41</f>
        <v>119.99999999999999</v>
      </c>
      <c r="U41" s="53"/>
    </row>
    <row r="42" spans="1:21" ht="45.65" customHeight="1" thickBot="1" x14ac:dyDescent="0.6">
      <c r="A42" s="105">
        <f t="shared" si="3"/>
        <v>37</v>
      </c>
      <c r="B42" s="106" t="s">
        <v>286</v>
      </c>
      <c r="C42" s="129" t="s">
        <v>139</v>
      </c>
      <c r="D42" s="130" t="s">
        <v>184</v>
      </c>
      <c r="E42" s="121" t="s">
        <v>185</v>
      </c>
      <c r="F42" s="129" t="s">
        <v>167</v>
      </c>
      <c r="G42" s="128">
        <v>100</v>
      </c>
      <c r="H42" s="131">
        <v>26</v>
      </c>
      <c r="I42" s="110">
        <v>0</v>
      </c>
      <c r="J42" s="132">
        <f>G42/26*H42</f>
        <v>100</v>
      </c>
      <c r="K42" s="111">
        <v>0</v>
      </c>
      <c r="L42" s="132">
        <v>0</v>
      </c>
      <c r="M42" s="132">
        <v>0</v>
      </c>
      <c r="N42" s="132">
        <v>0</v>
      </c>
      <c r="O42" s="111">
        <f t="shared" si="1"/>
        <v>100</v>
      </c>
      <c r="P42" s="132">
        <v>0</v>
      </c>
      <c r="Q42" s="111">
        <v>0</v>
      </c>
      <c r="R42" s="132">
        <v>0</v>
      </c>
      <c r="S42" s="132">
        <v>0</v>
      </c>
      <c r="T42" s="133">
        <f>O42-P42-Q42-R42-S42</f>
        <v>100</v>
      </c>
      <c r="U42" s="53"/>
    </row>
    <row r="43" spans="1:21" ht="45.65" customHeight="1" x14ac:dyDescent="0.55000000000000004">
      <c r="A43" s="105">
        <f t="shared" si="3"/>
        <v>38</v>
      </c>
      <c r="B43" s="106" t="s">
        <v>287</v>
      </c>
      <c r="C43" s="136" t="s">
        <v>140</v>
      </c>
      <c r="D43" s="137" t="s">
        <v>180</v>
      </c>
      <c r="E43" s="121" t="s">
        <v>185</v>
      </c>
      <c r="F43" s="136" t="s">
        <v>168</v>
      </c>
      <c r="G43" s="135">
        <v>250</v>
      </c>
      <c r="H43" s="138">
        <v>26</v>
      </c>
      <c r="I43" s="110">
        <v>0</v>
      </c>
      <c r="J43" s="139">
        <f t="shared" si="0"/>
        <v>250</v>
      </c>
      <c r="K43" s="111">
        <v>0</v>
      </c>
      <c r="L43" s="139">
        <v>0</v>
      </c>
      <c r="M43" s="139">
        <v>0</v>
      </c>
      <c r="N43" s="139">
        <v>0</v>
      </c>
      <c r="O43" s="111">
        <f t="shared" si="1"/>
        <v>250</v>
      </c>
      <c r="P43" s="139">
        <v>0</v>
      </c>
      <c r="Q43" s="111">
        <v>0</v>
      </c>
      <c r="R43" s="139">
        <v>0</v>
      </c>
      <c r="S43" s="139">
        <v>0</v>
      </c>
      <c r="T43" s="140">
        <f t="shared" si="2"/>
        <v>250</v>
      </c>
      <c r="U43" s="53"/>
    </row>
    <row r="44" spans="1:21" ht="45.65" customHeight="1" x14ac:dyDescent="0.55000000000000004">
      <c r="A44" s="105">
        <f t="shared" si="3"/>
        <v>39</v>
      </c>
      <c r="B44" s="106" t="s">
        <v>288</v>
      </c>
      <c r="C44" s="107" t="s">
        <v>141</v>
      </c>
      <c r="D44" s="108" t="s">
        <v>184</v>
      </c>
      <c r="E44" s="121" t="s">
        <v>185</v>
      </c>
      <c r="F44" s="107" t="s">
        <v>169</v>
      </c>
      <c r="G44" s="109">
        <v>100</v>
      </c>
      <c r="H44" s="110">
        <v>26</v>
      </c>
      <c r="I44" s="110">
        <v>0</v>
      </c>
      <c r="J44" s="111">
        <f t="shared" si="0"/>
        <v>100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2"/>
        <v>100</v>
      </c>
      <c r="U44" s="53"/>
    </row>
    <row r="45" spans="1:21" ht="45.65" customHeight="1" x14ac:dyDescent="0.55000000000000004">
      <c r="A45" s="105">
        <f t="shared" si="3"/>
        <v>40</v>
      </c>
      <c r="B45" s="106" t="s">
        <v>289</v>
      </c>
      <c r="C45" s="107" t="s">
        <v>142</v>
      </c>
      <c r="D45" s="108" t="s">
        <v>184</v>
      </c>
      <c r="E45" s="121" t="s">
        <v>185</v>
      </c>
      <c r="F45" s="107" t="s">
        <v>170</v>
      </c>
      <c r="G45" s="109">
        <v>150</v>
      </c>
      <c r="H45" s="110">
        <v>26</v>
      </c>
      <c r="I45" s="110">
        <v>0</v>
      </c>
      <c r="J45" s="111">
        <f t="shared" si="0"/>
        <v>150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150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2"/>
        <v>150</v>
      </c>
      <c r="U45" s="53"/>
    </row>
    <row r="46" spans="1:21" ht="45.65" customHeight="1" x14ac:dyDescent="0.55000000000000004">
      <c r="A46" s="105">
        <f t="shared" si="3"/>
        <v>41</v>
      </c>
      <c r="B46" s="106" t="s">
        <v>290</v>
      </c>
      <c r="C46" s="107" t="s">
        <v>251</v>
      </c>
      <c r="D46" s="108" t="s">
        <v>184</v>
      </c>
      <c r="E46" s="108" t="s">
        <v>185</v>
      </c>
      <c r="F46" s="107" t="s">
        <v>169</v>
      </c>
      <c r="G46" s="109">
        <v>100</v>
      </c>
      <c r="H46" s="110">
        <v>26</v>
      </c>
      <c r="I46" s="110">
        <v>0</v>
      </c>
      <c r="J46" s="111">
        <f t="shared" si="0"/>
        <v>100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100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2"/>
        <v>100</v>
      </c>
      <c r="U46" s="53"/>
    </row>
    <row r="47" spans="1:21" ht="45.65" customHeight="1" x14ac:dyDescent="0.55000000000000004">
      <c r="A47" s="105">
        <f t="shared" si="3"/>
        <v>42</v>
      </c>
      <c r="B47" s="106" t="s">
        <v>255</v>
      </c>
      <c r="C47" s="107" t="s">
        <v>253</v>
      </c>
      <c r="D47" s="108" t="s">
        <v>178</v>
      </c>
      <c r="E47" s="108" t="s">
        <v>185</v>
      </c>
      <c r="F47" s="107"/>
      <c r="G47" s="109">
        <v>500</v>
      </c>
      <c r="H47" s="110">
        <v>26</v>
      </c>
      <c r="I47" s="110">
        <v>0</v>
      </c>
      <c r="J47" s="111">
        <f t="shared" ref="J47:J52" si="6">G47/26*H47</f>
        <v>500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500</v>
      </c>
      <c r="P47" s="111">
        <v>0</v>
      </c>
      <c r="Q47" s="111">
        <v>0</v>
      </c>
      <c r="R47" s="111">
        <v>0</v>
      </c>
      <c r="S47" s="111">
        <v>0</v>
      </c>
      <c r="T47" s="112">
        <f>O47-P47-Q47-R47-S47</f>
        <v>500</v>
      </c>
      <c r="U47" s="53"/>
    </row>
    <row r="48" spans="1:21" ht="45.65" customHeight="1" x14ac:dyDescent="0.55000000000000004">
      <c r="A48" s="105">
        <f t="shared" si="3"/>
        <v>43</v>
      </c>
      <c r="B48" s="106" t="s">
        <v>292</v>
      </c>
      <c r="C48" s="107" t="s">
        <v>254</v>
      </c>
      <c r="D48" s="108" t="s">
        <v>178</v>
      </c>
      <c r="E48" s="108" t="s">
        <v>185</v>
      </c>
      <c r="F48" s="107"/>
      <c r="G48" s="109">
        <v>350</v>
      </c>
      <c r="H48" s="110">
        <v>26</v>
      </c>
      <c r="I48" s="110">
        <v>0</v>
      </c>
      <c r="J48" s="111">
        <f t="shared" si="6"/>
        <v>350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350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2"/>
        <v>350</v>
      </c>
      <c r="U48" s="53"/>
    </row>
    <row r="49" spans="1:21" ht="45.65" customHeight="1" x14ac:dyDescent="0.55000000000000004">
      <c r="A49" s="105">
        <f t="shared" si="3"/>
        <v>44</v>
      </c>
      <c r="B49" s="106" t="s">
        <v>293</v>
      </c>
      <c r="C49" s="107" t="s">
        <v>259</v>
      </c>
      <c r="D49" s="108" t="s">
        <v>178</v>
      </c>
      <c r="E49" s="108" t="s">
        <v>185</v>
      </c>
      <c r="F49" s="107"/>
      <c r="G49" s="109">
        <v>80</v>
      </c>
      <c r="H49" s="110">
        <v>26</v>
      </c>
      <c r="I49" s="110">
        <v>0</v>
      </c>
      <c r="J49" s="111">
        <f t="shared" si="6"/>
        <v>80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80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2"/>
        <v>80</v>
      </c>
      <c r="U49" s="53"/>
    </row>
    <row r="50" spans="1:21" ht="45.65" customHeight="1" x14ac:dyDescent="0.55000000000000004">
      <c r="A50" s="105">
        <f t="shared" si="3"/>
        <v>45</v>
      </c>
      <c r="B50" s="106" t="s">
        <v>294</v>
      </c>
      <c r="C50" s="107" t="s">
        <v>260</v>
      </c>
      <c r="D50" s="108" t="s">
        <v>178</v>
      </c>
      <c r="E50" s="108" t="s">
        <v>185</v>
      </c>
      <c r="F50" s="107"/>
      <c r="G50" s="109">
        <v>60</v>
      </c>
      <c r="H50" s="110">
        <v>26</v>
      </c>
      <c r="I50" s="110">
        <v>0</v>
      </c>
      <c r="J50" s="111">
        <f t="shared" si="6"/>
        <v>59.999999999999993</v>
      </c>
      <c r="K50" s="111">
        <v>0</v>
      </c>
      <c r="L50" s="111">
        <v>60</v>
      </c>
      <c r="M50" s="111">
        <v>0</v>
      </c>
      <c r="N50" s="111">
        <v>0</v>
      </c>
      <c r="O50" s="111">
        <f t="shared" si="1"/>
        <v>120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2"/>
        <v>120</v>
      </c>
      <c r="U50" s="53"/>
    </row>
    <row r="51" spans="1:21" ht="45.65" customHeight="1" x14ac:dyDescent="0.55000000000000004">
      <c r="A51" s="105">
        <f t="shared" si="3"/>
        <v>46</v>
      </c>
      <c r="B51" s="106" t="s">
        <v>297</v>
      </c>
      <c r="C51" s="107" t="s">
        <v>301</v>
      </c>
      <c r="D51" s="108"/>
      <c r="E51" s="108"/>
      <c r="F51" s="107"/>
      <c r="G51" s="109">
        <v>270</v>
      </c>
      <c r="H51" s="110">
        <v>26</v>
      </c>
      <c r="I51" s="110">
        <v>0</v>
      </c>
      <c r="J51" s="111">
        <f t="shared" si="6"/>
        <v>270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270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ref="T51:T52" si="7">O51-P51-Q51-R51-S51</f>
        <v>270</v>
      </c>
      <c r="U51" s="53"/>
    </row>
    <row r="52" spans="1:21" ht="45.65" customHeight="1" x14ac:dyDescent="0.55000000000000004">
      <c r="A52" s="105">
        <f t="shared" si="3"/>
        <v>47</v>
      </c>
      <c r="B52" s="106" t="s">
        <v>304</v>
      </c>
      <c r="C52" s="107" t="s">
        <v>302</v>
      </c>
      <c r="D52" s="108"/>
      <c r="E52" s="108"/>
      <c r="F52" s="107"/>
      <c r="G52" s="109">
        <v>80</v>
      </c>
      <c r="H52" s="110">
        <v>26</v>
      </c>
      <c r="I52" s="110">
        <v>0</v>
      </c>
      <c r="J52" s="111">
        <f t="shared" si="6"/>
        <v>80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80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7"/>
        <v>80</v>
      </c>
      <c r="U52" s="53"/>
    </row>
    <row r="53" spans="1:21" ht="45.65" customHeight="1" x14ac:dyDescent="0.55000000000000004">
      <c r="A53" s="105">
        <f t="shared" si="3"/>
        <v>48</v>
      </c>
      <c r="B53" s="106" t="s">
        <v>282</v>
      </c>
      <c r="C53" s="120" t="s">
        <v>135</v>
      </c>
      <c r="D53" s="121" t="s">
        <v>184</v>
      </c>
      <c r="E53" s="121" t="s">
        <v>185</v>
      </c>
      <c r="F53" s="120" t="s">
        <v>165</v>
      </c>
      <c r="G53" s="106">
        <v>80</v>
      </c>
      <c r="H53" s="110">
        <v>26</v>
      </c>
      <c r="I53" s="110">
        <v>0</v>
      </c>
      <c r="J53" s="111">
        <f>G53/26*H53</f>
        <v>80</v>
      </c>
      <c r="K53" s="111">
        <v>0</v>
      </c>
      <c r="L53" s="111">
        <v>70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0</v>
      </c>
      <c r="R53" s="111">
        <v>0</v>
      </c>
      <c r="S53" s="111">
        <v>0</v>
      </c>
      <c r="T53" s="112">
        <f>O53-P53-Q53-R53-S53</f>
        <v>150</v>
      </c>
      <c r="U53" s="53"/>
    </row>
    <row r="54" spans="1:21" ht="45.65" customHeight="1" x14ac:dyDescent="0.55000000000000004">
      <c r="A54" s="105">
        <f t="shared" si="3"/>
        <v>49</v>
      </c>
      <c r="B54" s="106" t="s">
        <v>305</v>
      </c>
      <c r="C54" s="120" t="s">
        <v>303</v>
      </c>
      <c r="D54" s="121"/>
      <c r="E54" s="121"/>
      <c r="F54" s="120"/>
      <c r="G54" s="106">
        <v>250</v>
      </c>
      <c r="H54" s="110">
        <v>26</v>
      </c>
      <c r="I54" s="110">
        <v>0</v>
      </c>
      <c r="J54" s="111">
        <f>G54/26*H54</f>
        <v>250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250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ref="T54:T61" si="8">O54-P54-Q54-R54-S54</f>
        <v>250</v>
      </c>
      <c r="U54" s="53"/>
    </row>
    <row r="55" spans="1:21" ht="45.65" customHeight="1" x14ac:dyDescent="0.55000000000000004">
      <c r="A55" s="105">
        <f t="shared" si="3"/>
        <v>50</v>
      </c>
      <c r="B55" s="106" t="s">
        <v>237</v>
      </c>
      <c r="C55" s="107" t="s">
        <v>213</v>
      </c>
      <c r="D55" s="108" t="s">
        <v>177</v>
      </c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11">
        <v>0</v>
      </c>
      <c r="R55" s="111">
        <v>0</v>
      </c>
      <c r="S55" s="151">
        <v>166</v>
      </c>
      <c r="T55" s="112">
        <f t="shared" si="8"/>
        <v>434</v>
      </c>
      <c r="U55" s="53" t="s">
        <v>176</v>
      </c>
    </row>
    <row r="56" spans="1:21" ht="45.65" customHeight="1" x14ac:dyDescent="0.55000000000000004">
      <c r="A56" s="105">
        <f t="shared" si="3"/>
        <v>51</v>
      </c>
      <c r="B56" s="106" t="s">
        <v>238</v>
      </c>
      <c r="C56" s="107" t="s">
        <v>214</v>
      </c>
      <c r="D56" s="108" t="s">
        <v>177</v>
      </c>
      <c r="E56" s="108" t="s">
        <v>191</v>
      </c>
      <c r="F56" s="107" t="s">
        <v>295</v>
      </c>
      <c r="G56" s="141">
        <v>422.6</v>
      </c>
      <c r="H56" s="110">
        <v>26</v>
      </c>
      <c r="I56" s="110">
        <v>0</v>
      </c>
      <c r="J56" s="111">
        <f t="shared" si="0"/>
        <v>422.6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</v>
      </c>
      <c r="P56" s="111">
        <v>0</v>
      </c>
      <c r="Q56" s="111">
        <v>0</v>
      </c>
      <c r="R56" s="111">
        <v>0</v>
      </c>
      <c r="S56" s="111">
        <v>0</v>
      </c>
      <c r="T56" s="112">
        <f t="shared" si="8"/>
        <v>422.6</v>
      </c>
      <c r="U56" s="53"/>
    </row>
    <row r="57" spans="1:21" ht="45.65" customHeight="1" x14ac:dyDescent="0.55000000000000004">
      <c r="A57" s="105">
        <f t="shared" si="3"/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11">
        <v>0</v>
      </c>
      <c r="R57" s="111">
        <v>0</v>
      </c>
      <c r="S57" s="151">
        <v>300</v>
      </c>
      <c r="T57" s="112">
        <f t="shared" si="8"/>
        <v>0</v>
      </c>
      <c r="U57" s="53" t="s">
        <v>176</v>
      </c>
    </row>
    <row r="58" spans="1:21" ht="45.65" customHeight="1" x14ac:dyDescent="0.55000000000000004">
      <c r="A58" s="105">
        <f t="shared" si="3"/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11">
        <v>0</v>
      </c>
      <c r="R58" s="111">
        <v>0</v>
      </c>
      <c r="S58" s="151">
        <v>600</v>
      </c>
      <c r="T58" s="112">
        <f t="shared" si="8"/>
        <v>0</v>
      </c>
      <c r="U58" s="52" t="s">
        <v>176</v>
      </c>
    </row>
    <row r="59" spans="1:21" ht="45.65" customHeight="1" x14ac:dyDescent="0.55000000000000004">
      <c r="A59" s="105">
        <f t="shared" si="3"/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8"/>
        <v>0</v>
      </c>
      <c r="U59" s="51"/>
    </row>
    <row r="60" spans="1:21" ht="45.65" customHeight="1" x14ac:dyDescent="0.55000000000000004">
      <c r="A60" s="105">
        <f t="shared" si="3"/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8"/>
        <v>0</v>
      </c>
      <c r="U60" s="51"/>
    </row>
    <row r="61" spans="1:21" ht="45.65" customHeight="1" thickBot="1" x14ac:dyDescent="0.6">
      <c r="A61" s="105">
        <f t="shared" si="3"/>
        <v>56</v>
      </c>
      <c r="B61" s="106"/>
      <c r="C61" s="144"/>
      <c r="D61" s="145"/>
      <c r="E61" s="145"/>
      <c r="F61" s="144"/>
      <c r="G61" s="146"/>
      <c r="H61" s="147">
        <v>26</v>
      </c>
      <c r="I61" s="110">
        <v>0</v>
      </c>
      <c r="J61" s="148">
        <f t="shared" si="0"/>
        <v>0</v>
      </c>
      <c r="K61" s="111">
        <v>0</v>
      </c>
      <c r="L61" s="148">
        <v>0</v>
      </c>
      <c r="M61" s="148">
        <v>0</v>
      </c>
      <c r="N61" s="148">
        <v>0</v>
      </c>
      <c r="O61" s="111">
        <f t="shared" si="1"/>
        <v>0</v>
      </c>
      <c r="P61" s="148">
        <v>0</v>
      </c>
      <c r="Q61" s="111">
        <v>0</v>
      </c>
      <c r="R61" s="148">
        <v>0</v>
      </c>
      <c r="S61" s="148">
        <v>0</v>
      </c>
      <c r="T61" s="112">
        <f t="shared" si="8"/>
        <v>0</v>
      </c>
      <c r="U61" s="54"/>
    </row>
    <row r="62" spans="1:21" ht="50.15" customHeight="1" thickBot="1" x14ac:dyDescent="0.45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 t="shared" ref="J62:T62" si="9">SUBTOTAL(9,J6:J61)</f>
        <v>15237.6</v>
      </c>
      <c r="K62" s="116">
        <f t="shared" si="9"/>
        <v>0</v>
      </c>
      <c r="L62" s="116">
        <f t="shared" si="9"/>
        <v>130</v>
      </c>
      <c r="M62" s="116">
        <f t="shared" si="9"/>
        <v>0</v>
      </c>
      <c r="N62" s="116">
        <f t="shared" si="9"/>
        <v>300</v>
      </c>
      <c r="O62" s="116">
        <f t="shared" si="9"/>
        <v>15667.6</v>
      </c>
      <c r="P62" s="116">
        <f t="shared" si="9"/>
        <v>0</v>
      </c>
      <c r="Q62" s="116">
        <f t="shared" si="9"/>
        <v>0</v>
      </c>
      <c r="R62" s="116">
        <f t="shared" si="9"/>
        <v>150</v>
      </c>
      <c r="S62" s="152">
        <f t="shared" si="9"/>
        <v>2006</v>
      </c>
      <c r="T62" s="124">
        <f t="shared" si="9"/>
        <v>13511.6</v>
      </c>
      <c r="U62" s="116"/>
    </row>
    <row r="66" spans="15:18" x14ac:dyDescent="0.4">
      <c r="O66" s="123"/>
      <c r="R66" s="123"/>
    </row>
  </sheetData>
  <autoFilter ref="A5:U61" xr:uid="{00000000-0001-0000-0300-000000000000}"/>
  <mergeCells count="15">
    <mergeCell ref="P4:S4"/>
    <mergeCell ref="T4:T5"/>
    <mergeCell ref="U4:U5"/>
    <mergeCell ref="A1:U1"/>
    <mergeCell ref="A2:U2"/>
    <mergeCell ref="A3:U3"/>
    <mergeCell ref="A4:A5"/>
    <mergeCell ref="B4:B5"/>
    <mergeCell ref="C4:C5"/>
    <mergeCell ref="D4:D5"/>
    <mergeCell ref="F4:F5"/>
    <mergeCell ref="G4:G5"/>
    <mergeCell ref="H4:H5"/>
    <mergeCell ref="I4:I5"/>
    <mergeCell ref="J4:O4"/>
  </mergeCells>
  <conditionalFormatting sqref="C6:C61">
    <cfRule type="duplicateValues" dxfId="10" priority="836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17F2-5B7E-4AE7-A191-908679D587F3}">
  <sheetPr>
    <pageSetUpPr fitToPage="1"/>
  </sheetPr>
  <dimension ref="A1:V36"/>
  <sheetViews>
    <sheetView tabSelected="1" zoomScale="47" zoomScaleNormal="47" workbookViewId="0">
      <pane xSplit="3" ySplit="5" topLeftCell="D21" activePane="bottomRight" state="frozen"/>
      <selection pane="topRight" activeCell="D1" sqref="D1"/>
      <selection pane="bottomLeft" activeCell="A6" sqref="A6"/>
      <selection pane="bottomRight" activeCell="C26" sqref="C26"/>
    </sheetView>
  </sheetViews>
  <sheetFormatPr defaultRowHeight="14.6" x14ac:dyDescent="0.4"/>
  <cols>
    <col min="2" max="2" width="17.69140625" customWidth="1"/>
    <col min="3" max="3" width="45.3046875" style="4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spans="1:22" ht="21" customHeight="1" thickBot="1" x14ac:dyDescent="0.45">
      <c r="A1" s="221" t="s">
        <v>316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</row>
    <row r="2" spans="1:22" ht="25.5" customHeight="1" thickBot="1" x14ac:dyDescent="0.45">
      <c r="A2" s="223" t="s">
        <v>378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</row>
    <row r="3" spans="1:22" ht="25.5" customHeight="1" thickBot="1" x14ac:dyDescent="0.45">
      <c r="A3" s="223" t="s">
        <v>26</v>
      </c>
      <c r="B3" s="224"/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</row>
    <row r="4" spans="1:22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226" t="s">
        <v>7</v>
      </c>
      <c r="F4" s="226" t="s">
        <v>21</v>
      </c>
      <c r="G4" s="226" t="s">
        <v>317</v>
      </c>
      <c r="H4" s="228" t="s">
        <v>3</v>
      </c>
      <c r="I4" s="228"/>
      <c r="J4" s="228"/>
      <c r="K4" s="228"/>
      <c r="L4" s="228"/>
      <c r="M4" s="228"/>
      <c r="N4" s="228" t="s">
        <v>1</v>
      </c>
      <c r="O4" s="228"/>
      <c r="P4" s="228"/>
      <c r="Q4" s="228"/>
      <c r="R4" s="226" t="s">
        <v>19</v>
      </c>
      <c r="S4" s="229" t="s">
        <v>349</v>
      </c>
      <c r="T4" s="229" t="s">
        <v>321</v>
      </c>
      <c r="U4" s="229" t="s">
        <v>311</v>
      </c>
      <c r="V4" s="226" t="s">
        <v>20</v>
      </c>
    </row>
    <row r="5" spans="1:22" s="71" customFormat="1" ht="65.5" customHeight="1" thickBot="1" x14ac:dyDescent="0.55000000000000004">
      <c r="A5" s="225"/>
      <c r="B5" s="226"/>
      <c r="C5" s="226"/>
      <c r="D5" s="227"/>
      <c r="E5" s="226"/>
      <c r="F5" s="226"/>
      <c r="G5" s="226"/>
      <c r="H5" s="104" t="s">
        <v>9</v>
      </c>
      <c r="I5" s="104" t="s">
        <v>10</v>
      </c>
      <c r="J5" s="104" t="s">
        <v>11</v>
      </c>
      <c r="K5" s="104" t="s">
        <v>12</v>
      </c>
      <c r="L5" s="104" t="s">
        <v>14</v>
      </c>
      <c r="M5" s="104" t="s">
        <v>15</v>
      </c>
      <c r="N5" s="104" t="s">
        <v>16</v>
      </c>
      <c r="O5" s="104" t="s">
        <v>17</v>
      </c>
      <c r="P5" s="104" t="s">
        <v>18</v>
      </c>
      <c r="Q5" s="192" t="s">
        <v>14</v>
      </c>
      <c r="R5" s="226"/>
      <c r="S5" s="231"/>
      <c r="T5" s="231"/>
      <c r="U5" s="230"/>
      <c r="V5" s="226"/>
    </row>
    <row r="6" spans="1:22" s="71" customFormat="1" ht="51.75" customHeight="1" x14ac:dyDescent="0.5">
      <c r="A6" s="197">
        <v>1</v>
      </c>
      <c r="B6" s="198" t="s">
        <v>216</v>
      </c>
      <c r="C6" s="199" t="s">
        <v>198</v>
      </c>
      <c r="D6" s="200" t="s">
        <v>371</v>
      </c>
      <c r="E6" s="201">
        <v>410</v>
      </c>
      <c r="F6" s="202">
        <v>26</v>
      </c>
      <c r="G6" s="202">
        <v>0</v>
      </c>
      <c r="H6" s="203">
        <f>E6/26*F6</f>
        <v>410</v>
      </c>
      <c r="I6" s="203">
        <f>E6/26*G6</f>
        <v>0</v>
      </c>
      <c r="J6" s="203">
        <v>0</v>
      </c>
      <c r="K6" s="203">
        <v>0</v>
      </c>
      <c r="L6" s="203">
        <v>0</v>
      </c>
      <c r="M6" s="203">
        <f>H6+I6+J6+K6+L6</f>
        <v>410</v>
      </c>
      <c r="N6" s="203">
        <v>0</v>
      </c>
      <c r="O6" s="203">
        <v>0</v>
      </c>
      <c r="P6" s="203">
        <v>0</v>
      </c>
      <c r="Q6" s="204">
        <v>0</v>
      </c>
      <c r="R6" s="205">
        <f>M6-N6-O6-P6-Q6</f>
        <v>410</v>
      </c>
      <c r="S6" s="206">
        <f>R6+U6</f>
        <v>800</v>
      </c>
      <c r="T6" s="206" t="s">
        <v>350</v>
      </c>
      <c r="U6" s="205">
        <v>390</v>
      </c>
      <c r="V6" s="207" t="s">
        <v>176</v>
      </c>
    </row>
    <row r="7" spans="1:22" ht="45.65" customHeight="1" x14ac:dyDescent="0.5">
      <c r="A7" s="197">
        <v>2</v>
      </c>
      <c r="B7" s="198" t="s">
        <v>264</v>
      </c>
      <c r="C7" s="208" t="s">
        <v>245</v>
      </c>
      <c r="D7" s="200" t="s">
        <v>351</v>
      </c>
      <c r="E7" s="198">
        <v>255</v>
      </c>
      <c r="F7" s="202">
        <v>26</v>
      </c>
      <c r="G7" s="202">
        <v>0</v>
      </c>
      <c r="H7" s="203">
        <f t="shared" ref="H7:H28" si="0">E7/26*F7</f>
        <v>255.00000000000003</v>
      </c>
      <c r="I7" s="203">
        <f t="shared" ref="I7:I28" si="1">E7/26*G7</f>
        <v>0</v>
      </c>
      <c r="J7" s="203">
        <v>0</v>
      </c>
      <c r="K7" s="203">
        <v>0</v>
      </c>
      <c r="L7" s="203">
        <v>0</v>
      </c>
      <c r="M7" s="203">
        <f t="shared" ref="M7:M28" si="2">H7+I7+J7+K7+L7</f>
        <v>255.00000000000003</v>
      </c>
      <c r="N7" s="203">
        <v>0</v>
      </c>
      <c r="O7" s="203">
        <v>0</v>
      </c>
      <c r="P7" s="203">
        <v>0</v>
      </c>
      <c r="Q7" s="204">
        <v>0</v>
      </c>
      <c r="R7" s="205">
        <f t="shared" ref="R7:R28" si="3">M7-N7-O7-P7-Q7</f>
        <v>255.00000000000003</v>
      </c>
      <c r="S7" s="205">
        <f t="shared" ref="S7:S20" si="4">R7</f>
        <v>255.00000000000003</v>
      </c>
      <c r="T7" s="205" t="s">
        <v>350</v>
      </c>
      <c r="U7" s="205">
        <v>0</v>
      </c>
      <c r="V7" s="207"/>
    </row>
    <row r="8" spans="1:22" ht="45.65" customHeight="1" x14ac:dyDescent="0.5">
      <c r="A8" s="197">
        <v>3</v>
      </c>
      <c r="B8" s="198" t="s">
        <v>265</v>
      </c>
      <c r="C8" s="208" t="s">
        <v>246</v>
      </c>
      <c r="D8" s="200" t="s">
        <v>366</v>
      </c>
      <c r="E8" s="198">
        <v>150</v>
      </c>
      <c r="F8" s="202">
        <v>26</v>
      </c>
      <c r="G8" s="202">
        <v>0</v>
      </c>
      <c r="H8" s="203">
        <f t="shared" si="0"/>
        <v>150</v>
      </c>
      <c r="I8" s="203">
        <f t="shared" si="1"/>
        <v>0</v>
      </c>
      <c r="J8" s="203">
        <v>0</v>
      </c>
      <c r="K8" s="203">
        <v>0</v>
      </c>
      <c r="L8" s="203">
        <v>0</v>
      </c>
      <c r="M8" s="203">
        <f t="shared" si="2"/>
        <v>150</v>
      </c>
      <c r="N8" s="203">
        <v>0</v>
      </c>
      <c r="O8" s="203">
        <v>0</v>
      </c>
      <c r="P8" s="203">
        <v>0</v>
      </c>
      <c r="Q8" s="204">
        <v>0</v>
      </c>
      <c r="R8" s="205">
        <f t="shared" si="3"/>
        <v>150</v>
      </c>
      <c r="S8" s="205">
        <f t="shared" si="4"/>
        <v>150</v>
      </c>
      <c r="T8" s="205" t="s">
        <v>350</v>
      </c>
      <c r="U8" s="205">
        <v>0</v>
      </c>
      <c r="V8" s="207"/>
    </row>
    <row r="9" spans="1:22" ht="45.65" customHeight="1" x14ac:dyDescent="0.5">
      <c r="A9" s="197">
        <v>4</v>
      </c>
      <c r="B9" s="198" t="s">
        <v>266</v>
      </c>
      <c r="C9" s="199" t="s">
        <v>101</v>
      </c>
      <c r="D9" s="200" t="s">
        <v>352</v>
      </c>
      <c r="E9" s="198">
        <v>430</v>
      </c>
      <c r="F9" s="202">
        <v>25</v>
      </c>
      <c r="G9" s="202">
        <v>1</v>
      </c>
      <c r="H9" s="203">
        <f t="shared" si="0"/>
        <v>413.46153846153851</v>
      </c>
      <c r="I9" s="203">
        <f t="shared" si="1"/>
        <v>16.53846153846154</v>
      </c>
      <c r="J9" s="203">
        <v>0</v>
      </c>
      <c r="K9" s="203">
        <v>0</v>
      </c>
      <c r="L9" s="203">
        <v>0</v>
      </c>
      <c r="M9" s="203">
        <f t="shared" si="2"/>
        <v>430.00000000000006</v>
      </c>
      <c r="N9" s="203">
        <v>0</v>
      </c>
      <c r="O9" s="203">
        <v>0</v>
      </c>
      <c r="P9" s="203">
        <v>0</v>
      </c>
      <c r="Q9" s="204">
        <v>0</v>
      </c>
      <c r="R9" s="205">
        <f t="shared" si="3"/>
        <v>430.00000000000006</v>
      </c>
      <c r="S9" s="205">
        <f t="shared" si="4"/>
        <v>430.00000000000006</v>
      </c>
      <c r="T9" s="205" t="s">
        <v>350</v>
      </c>
      <c r="U9" s="205">
        <v>0</v>
      </c>
      <c r="V9" s="207"/>
    </row>
    <row r="10" spans="1:22" ht="45.65" customHeight="1" x14ac:dyDescent="0.5">
      <c r="A10" s="197">
        <v>5</v>
      </c>
      <c r="B10" s="198" t="s">
        <v>218</v>
      </c>
      <c r="C10" s="199" t="s">
        <v>103</v>
      </c>
      <c r="D10" s="200" t="s">
        <v>353</v>
      </c>
      <c r="E10" s="198">
        <v>330</v>
      </c>
      <c r="F10" s="202">
        <v>26</v>
      </c>
      <c r="G10" s="202">
        <v>0</v>
      </c>
      <c r="H10" s="203">
        <f t="shared" si="0"/>
        <v>330</v>
      </c>
      <c r="I10" s="203">
        <f t="shared" si="1"/>
        <v>0</v>
      </c>
      <c r="J10" s="203">
        <v>0</v>
      </c>
      <c r="K10" s="203">
        <v>0</v>
      </c>
      <c r="L10" s="203">
        <v>0</v>
      </c>
      <c r="M10" s="203">
        <f t="shared" si="2"/>
        <v>330</v>
      </c>
      <c r="N10" s="203">
        <v>0</v>
      </c>
      <c r="O10" s="203">
        <v>0</v>
      </c>
      <c r="P10" s="203">
        <v>0</v>
      </c>
      <c r="Q10" s="204">
        <v>0</v>
      </c>
      <c r="R10" s="205">
        <f t="shared" si="3"/>
        <v>330</v>
      </c>
      <c r="S10" s="205">
        <f t="shared" si="4"/>
        <v>330</v>
      </c>
      <c r="T10" s="205" t="s">
        <v>350</v>
      </c>
      <c r="U10" s="205">
        <v>0</v>
      </c>
      <c r="V10" s="207"/>
    </row>
    <row r="11" spans="1:22" ht="45.65" customHeight="1" x14ac:dyDescent="0.5">
      <c r="A11" s="197">
        <v>6</v>
      </c>
      <c r="B11" s="198" t="s">
        <v>219</v>
      </c>
      <c r="C11" s="208" t="s">
        <v>105</v>
      </c>
      <c r="D11" s="200" t="s">
        <v>354</v>
      </c>
      <c r="E11" s="198">
        <v>200</v>
      </c>
      <c r="F11" s="202">
        <v>26</v>
      </c>
      <c r="G11" s="202">
        <v>0</v>
      </c>
      <c r="H11" s="203">
        <f t="shared" si="0"/>
        <v>200</v>
      </c>
      <c r="I11" s="203">
        <f t="shared" si="1"/>
        <v>0</v>
      </c>
      <c r="J11" s="203">
        <v>0</v>
      </c>
      <c r="K11" s="203">
        <v>0</v>
      </c>
      <c r="L11" s="203">
        <v>0</v>
      </c>
      <c r="M11" s="203">
        <f t="shared" si="2"/>
        <v>200</v>
      </c>
      <c r="N11" s="203">
        <v>0</v>
      </c>
      <c r="O11" s="203">
        <v>0</v>
      </c>
      <c r="P11" s="203">
        <v>0</v>
      </c>
      <c r="Q11" s="204">
        <v>0</v>
      </c>
      <c r="R11" s="205">
        <f t="shared" si="3"/>
        <v>200</v>
      </c>
      <c r="S11" s="205">
        <f t="shared" si="4"/>
        <v>200</v>
      </c>
      <c r="T11" s="205" t="s">
        <v>350</v>
      </c>
      <c r="U11" s="205">
        <v>0</v>
      </c>
      <c r="V11" s="207"/>
    </row>
    <row r="12" spans="1:22" ht="45.65" customHeight="1" x14ac:dyDescent="0.5">
      <c r="A12" s="197">
        <v>7</v>
      </c>
      <c r="B12" s="198" t="s">
        <v>220</v>
      </c>
      <c r="C12" s="208" t="s">
        <v>200</v>
      </c>
      <c r="D12" s="200" t="s">
        <v>355</v>
      </c>
      <c r="E12" s="198">
        <v>430</v>
      </c>
      <c r="F12" s="202">
        <v>26</v>
      </c>
      <c r="G12" s="202">
        <v>0</v>
      </c>
      <c r="H12" s="203">
        <f t="shared" si="0"/>
        <v>430.00000000000006</v>
      </c>
      <c r="I12" s="203">
        <f t="shared" si="1"/>
        <v>0</v>
      </c>
      <c r="J12" s="203">
        <v>0</v>
      </c>
      <c r="K12" s="203">
        <v>0</v>
      </c>
      <c r="L12" s="203">
        <v>0</v>
      </c>
      <c r="M12" s="203">
        <f t="shared" si="2"/>
        <v>430.00000000000006</v>
      </c>
      <c r="N12" s="203">
        <v>0</v>
      </c>
      <c r="O12" s="203">
        <v>0</v>
      </c>
      <c r="P12" s="203">
        <v>0</v>
      </c>
      <c r="Q12" s="204">
        <v>0</v>
      </c>
      <c r="R12" s="205">
        <f t="shared" si="3"/>
        <v>430.00000000000006</v>
      </c>
      <c r="S12" s="205">
        <f t="shared" si="4"/>
        <v>430.00000000000006</v>
      </c>
      <c r="T12" s="205" t="s">
        <v>350</v>
      </c>
      <c r="U12" s="205">
        <v>0</v>
      </c>
      <c r="V12" s="207"/>
    </row>
    <row r="13" spans="1:22" ht="45.65" customHeight="1" x14ac:dyDescent="0.5">
      <c r="A13" s="197">
        <v>8</v>
      </c>
      <c r="B13" s="198" t="s">
        <v>221</v>
      </c>
      <c r="C13" s="208" t="s">
        <v>201</v>
      </c>
      <c r="D13" s="200" t="s">
        <v>356</v>
      </c>
      <c r="E13" s="198">
        <v>330</v>
      </c>
      <c r="F13" s="202">
        <v>26</v>
      </c>
      <c r="G13" s="202">
        <v>0</v>
      </c>
      <c r="H13" s="203">
        <f t="shared" si="0"/>
        <v>330</v>
      </c>
      <c r="I13" s="203">
        <f t="shared" si="1"/>
        <v>0</v>
      </c>
      <c r="J13" s="203">
        <v>0</v>
      </c>
      <c r="K13" s="203">
        <v>0</v>
      </c>
      <c r="L13" s="203">
        <v>0</v>
      </c>
      <c r="M13" s="203">
        <v>330</v>
      </c>
      <c r="N13" s="203">
        <v>0</v>
      </c>
      <c r="O13" s="203">
        <v>0</v>
      </c>
      <c r="P13" s="203">
        <v>0</v>
      </c>
      <c r="Q13" s="204">
        <v>0</v>
      </c>
      <c r="R13" s="205">
        <f t="shared" si="3"/>
        <v>330</v>
      </c>
      <c r="S13" s="205">
        <f t="shared" si="4"/>
        <v>330</v>
      </c>
      <c r="T13" s="205" t="s">
        <v>350</v>
      </c>
      <c r="U13" s="205">
        <v>0</v>
      </c>
      <c r="V13" s="207"/>
    </row>
    <row r="14" spans="1:22" ht="45.65" customHeight="1" x14ac:dyDescent="0.5">
      <c r="A14" s="197">
        <v>9</v>
      </c>
      <c r="B14" s="198" t="s">
        <v>222</v>
      </c>
      <c r="C14" s="208" t="s">
        <v>202</v>
      </c>
      <c r="D14" s="200" t="s">
        <v>357</v>
      </c>
      <c r="E14" s="198">
        <v>300</v>
      </c>
      <c r="F14" s="202">
        <v>26</v>
      </c>
      <c r="G14" s="202">
        <v>0</v>
      </c>
      <c r="H14" s="203">
        <f t="shared" si="0"/>
        <v>300</v>
      </c>
      <c r="I14" s="203">
        <f t="shared" si="1"/>
        <v>0</v>
      </c>
      <c r="J14" s="203">
        <v>0</v>
      </c>
      <c r="K14" s="203">
        <v>0</v>
      </c>
      <c r="L14" s="209">
        <v>300</v>
      </c>
      <c r="M14" s="203">
        <f t="shared" si="2"/>
        <v>600</v>
      </c>
      <c r="N14" s="203">
        <v>0</v>
      </c>
      <c r="O14" s="203">
        <v>0</v>
      </c>
      <c r="P14" s="203">
        <v>0</v>
      </c>
      <c r="Q14" s="204">
        <v>0</v>
      </c>
      <c r="R14" s="205">
        <f t="shared" si="3"/>
        <v>600</v>
      </c>
      <c r="S14" s="205">
        <f t="shared" si="4"/>
        <v>600</v>
      </c>
      <c r="T14" s="205" t="s">
        <v>350</v>
      </c>
      <c r="U14" s="205">
        <v>0</v>
      </c>
      <c r="V14" s="207"/>
    </row>
    <row r="15" spans="1:22" ht="45.65" customHeight="1" x14ac:dyDescent="0.5">
      <c r="A15" s="197">
        <v>10</v>
      </c>
      <c r="B15" s="198" t="s">
        <v>269</v>
      </c>
      <c r="C15" s="208" t="s">
        <v>112</v>
      </c>
      <c r="D15" s="200" t="s">
        <v>358</v>
      </c>
      <c r="E15" s="198">
        <v>450</v>
      </c>
      <c r="F15" s="202">
        <v>25</v>
      </c>
      <c r="G15" s="202">
        <v>1</v>
      </c>
      <c r="H15" s="203">
        <f t="shared" si="0"/>
        <v>432.69230769230768</v>
      </c>
      <c r="I15" s="203">
        <f t="shared" si="1"/>
        <v>17.307692307692307</v>
      </c>
      <c r="J15" s="203">
        <v>0</v>
      </c>
      <c r="K15" s="203">
        <v>0</v>
      </c>
      <c r="L15" s="203">
        <v>0</v>
      </c>
      <c r="M15" s="203">
        <f t="shared" si="2"/>
        <v>450</v>
      </c>
      <c r="N15" s="203">
        <v>0</v>
      </c>
      <c r="O15" s="203">
        <v>0</v>
      </c>
      <c r="P15" s="203">
        <v>0</v>
      </c>
      <c r="Q15" s="204">
        <v>0</v>
      </c>
      <c r="R15" s="205">
        <f t="shared" si="3"/>
        <v>450</v>
      </c>
      <c r="S15" s="205">
        <f t="shared" si="4"/>
        <v>450</v>
      </c>
      <c r="T15" s="205" t="s">
        <v>350</v>
      </c>
      <c r="U15" s="205">
        <v>0</v>
      </c>
      <c r="V15" s="207"/>
    </row>
    <row r="16" spans="1:22" ht="45.65" customHeight="1" x14ac:dyDescent="0.5">
      <c r="A16" s="197">
        <v>11</v>
      </c>
      <c r="B16" s="198" t="s">
        <v>226</v>
      </c>
      <c r="C16" s="208" t="s">
        <v>206</v>
      </c>
      <c r="D16" s="200" t="s">
        <v>373</v>
      </c>
      <c r="E16" s="198">
        <v>170</v>
      </c>
      <c r="F16" s="202">
        <v>26</v>
      </c>
      <c r="G16" s="202">
        <v>0</v>
      </c>
      <c r="H16" s="203">
        <f t="shared" si="0"/>
        <v>170</v>
      </c>
      <c r="I16" s="203">
        <f t="shared" si="1"/>
        <v>0</v>
      </c>
      <c r="J16" s="203">
        <v>0</v>
      </c>
      <c r="K16" s="203">
        <v>0</v>
      </c>
      <c r="L16" s="203">
        <v>0</v>
      </c>
      <c r="M16" s="203">
        <f t="shared" si="2"/>
        <v>170</v>
      </c>
      <c r="N16" s="203">
        <v>0</v>
      </c>
      <c r="O16" s="203">
        <v>0</v>
      </c>
      <c r="P16" s="203">
        <v>0</v>
      </c>
      <c r="Q16" s="204">
        <v>0</v>
      </c>
      <c r="R16" s="205">
        <f t="shared" si="3"/>
        <v>170</v>
      </c>
      <c r="S16" s="205">
        <f t="shared" si="4"/>
        <v>170</v>
      </c>
      <c r="T16" s="205" t="s">
        <v>350</v>
      </c>
      <c r="U16" s="205">
        <v>0</v>
      </c>
      <c r="V16" s="207"/>
    </row>
    <row r="17" spans="1:22" ht="45.65" customHeight="1" x14ac:dyDescent="0.5">
      <c r="A17" s="197">
        <v>12</v>
      </c>
      <c r="B17" s="198" t="s">
        <v>227</v>
      </c>
      <c r="C17" s="208" t="s">
        <v>207</v>
      </c>
      <c r="D17" s="200" t="s">
        <v>374</v>
      </c>
      <c r="E17" s="198">
        <v>150</v>
      </c>
      <c r="F17" s="202">
        <v>26</v>
      </c>
      <c r="G17" s="202">
        <v>0</v>
      </c>
      <c r="H17" s="203">
        <f t="shared" si="0"/>
        <v>150</v>
      </c>
      <c r="I17" s="203">
        <f t="shared" si="1"/>
        <v>0</v>
      </c>
      <c r="J17" s="203">
        <v>0</v>
      </c>
      <c r="K17" s="203">
        <v>0</v>
      </c>
      <c r="L17" s="203">
        <v>0</v>
      </c>
      <c r="M17" s="203">
        <f t="shared" si="2"/>
        <v>150</v>
      </c>
      <c r="N17" s="203">
        <v>0</v>
      </c>
      <c r="O17" s="203">
        <v>0</v>
      </c>
      <c r="P17" s="203">
        <v>0</v>
      </c>
      <c r="Q17" s="204">
        <v>0</v>
      </c>
      <c r="R17" s="205">
        <f t="shared" si="3"/>
        <v>150</v>
      </c>
      <c r="S17" s="205">
        <f t="shared" si="4"/>
        <v>150</v>
      </c>
      <c r="T17" s="205" t="s">
        <v>350</v>
      </c>
      <c r="U17" s="205">
        <v>0</v>
      </c>
      <c r="V17" s="207"/>
    </row>
    <row r="18" spans="1:22" ht="45.65" customHeight="1" x14ac:dyDescent="0.5">
      <c r="A18" s="197">
        <v>13</v>
      </c>
      <c r="B18" s="198" t="s">
        <v>228</v>
      </c>
      <c r="C18" s="208" t="s">
        <v>208</v>
      </c>
      <c r="D18" s="200" t="s">
        <v>367</v>
      </c>
      <c r="E18" s="198">
        <v>150</v>
      </c>
      <c r="F18" s="202">
        <v>26</v>
      </c>
      <c r="G18" s="202">
        <v>0</v>
      </c>
      <c r="H18" s="203">
        <f t="shared" si="0"/>
        <v>150</v>
      </c>
      <c r="I18" s="203">
        <f t="shared" si="1"/>
        <v>0</v>
      </c>
      <c r="J18" s="203">
        <v>0</v>
      </c>
      <c r="K18" s="203">
        <v>0</v>
      </c>
      <c r="L18" s="203">
        <v>0</v>
      </c>
      <c r="M18" s="203">
        <f t="shared" si="2"/>
        <v>150</v>
      </c>
      <c r="N18" s="203">
        <v>0</v>
      </c>
      <c r="O18" s="203">
        <v>0</v>
      </c>
      <c r="P18" s="203">
        <v>0</v>
      </c>
      <c r="Q18" s="204">
        <v>0</v>
      </c>
      <c r="R18" s="205">
        <f t="shared" si="3"/>
        <v>150</v>
      </c>
      <c r="S18" s="205">
        <f t="shared" si="4"/>
        <v>150</v>
      </c>
      <c r="T18" s="205" t="s">
        <v>350</v>
      </c>
      <c r="U18" s="205">
        <v>0</v>
      </c>
      <c r="V18" s="207"/>
    </row>
    <row r="19" spans="1:22" ht="45.65" customHeight="1" x14ac:dyDescent="0.5">
      <c r="A19" s="197">
        <v>14</v>
      </c>
      <c r="B19" s="198" t="s">
        <v>230</v>
      </c>
      <c r="C19" s="199" t="s">
        <v>125</v>
      </c>
      <c r="D19" s="200" t="s">
        <v>365</v>
      </c>
      <c r="E19" s="198">
        <v>270</v>
      </c>
      <c r="F19" s="202">
        <v>26</v>
      </c>
      <c r="G19" s="202">
        <v>0</v>
      </c>
      <c r="H19" s="203">
        <f t="shared" si="0"/>
        <v>270</v>
      </c>
      <c r="I19" s="203">
        <f t="shared" si="1"/>
        <v>0</v>
      </c>
      <c r="J19" s="203">
        <v>0</v>
      </c>
      <c r="K19" s="203">
        <v>0</v>
      </c>
      <c r="L19" s="203">
        <v>0</v>
      </c>
      <c r="M19" s="203">
        <f t="shared" si="2"/>
        <v>270</v>
      </c>
      <c r="N19" s="203">
        <v>0</v>
      </c>
      <c r="O19" s="203">
        <v>0</v>
      </c>
      <c r="P19" s="203">
        <v>0</v>
      </c>
      <c r="Q19" s="204">
        <v>0</v>
      </c>
      <c r="R19" s="205">
        <f t="shared" si="3"/>
        <v>270</v>
      </c>
      <c r="S19" s="205">
        <f t="shared" si="4"/>
        <v>270</v>
      </c>
      <c r="T19" s="205" t="s">
        <v>350</v>
      </c>
      <c r="U19" s="205">
        <v>0</v>
      </c>
      <c r="V19" s="207"/>
    </row>
    <row r="20" spans="1:22" ht="45.65" customHeight="1" x14ac:dyDescent="0.5">
      <c r="A20" s="197">
        <v>15</v>
      </c>
      <c r="B20" s="198" t="s">
        <v>278</v>
      </c>
      <c r="C20" s="199" t="s">
        <v>247</v>
      </c>
      <c r="D20" s="200" t="s">
        <v>364</v>
      </c>
      <c r="E20" s="198">
        <v>280</v>
      </c>
      <c r="F20" s="202">
        <v>26</v>
      </c>
      <c r="G20" s="202">
        <v>0</v>
      </c>
      <c r="H20" s="203">
        <f t="shared" si="0"/>
        <v>280</v>
      </c>
      <c r="I20" s="203">
        <f t="shared" si="1"/>
        <v>0</v>
      </c>
      <c r="J20" s="203">
        <v>0</v>
      </c>
      <c r="K20" s="203">
        <v>0</v>
      </c>
      <c r="L20" s="203">
        <v>0</v>
      </c>
      <c r="M20" s="203">
        <f t="shared" si="2"/>
        <v>280</v>
      </c>
      <c r="N20" s="203">
        <v>0</v>
      </c>
      <c r="O20" s="203">
        <v>0</v>
      </c>
      <c r="P20" s="203">
        <v>0</v>
      </c>
      <c r="Q20" s="204">
        <v>0</v>
      </c>
      <c r="R20" s="205">
        <f t="shared" si="3"/>
        <v>280</v>
      </c>
      <c r="S20" s="205">
        <f t="shared" si="4"/>
        <v>280</v>
      </c>
      <c r="T20" s="205" t="s">
        <v>350</v>
      </c>
      <c r="U20" s="205">
        <v>0</v>
      </c>
      <c r="V20" s="207"/>
    </row>
    <row r="21" spans="1:22" ht="45.65" customHeight="1" x14ac:dyDescent="0.5">
      <c r="A21" s="197">
        <v>16</v>
      </c>
      <c r="B21" s="198" t="s">
        <v>231</v>
      </c>
      <c r="C21" s="199" t="s">
        <v>211</v>
      </c>
      <c r="D21" s="200" t="s">
        <v>363</v>
      </c>
      <c r="E21" s="198">
        <v>400</v>
      </c>
      <c r="F21" s="202">
        <v>26</v>
      </c>
      <c r="G21" s="202">
        <v>0</v>
      </c>
      <c r="H21" s="203">
        <f t="shared" si="0"/>
        <v>400</v>
      </c>
      <c r="I21" s="203">
        <f t="shared" si="1"/>
        <v>0</v>
      </c>
      <c r="J21" s="203">
        <v>0</v>
      </c>
      <c r="K21" s="203">
        <v>0</v>
      </c>
      <c r="L21" s="203">
        <v>0</v>
      </c>
      <c r="M21" s="203">
        <f t="shared" si="2"/>
        <v>400</v>
      </c>
      <c r="N21" s="203">
        <v>0</v>
      </c>
      <c r="O21" s="203">
        <v>0</v>
      </c>
      <c r="P21" s="203">
        <v>20</v>
      </c>
      <c r="Q21" s="204">
        <v>0</v>
      </c>
      <c r="R21" s="205">
        <f t="shared" si="3"/>
        <v>380</v>
      </c>
      <c r="S21" s="205">
        <f>R21+U21</f>
        <v>780</v>
      </c>
      <c r="T21" s="205" t="s">
        <v>350</v>
      </c>
      <c r="U21" s="205">
        <v>400</v>
      </c>
      <c r="V21" s="207" t="s">
        <v>176</v>
      </c>
    </row>
    <row r="22" spans="1:22" ht="45.65" customHeight="1" x14ac:dyDescent="0.45">
      <c r="A22" s="197">
        <v>17</v>
      </c>
      <c r="B22" s="198" t="s">
        <v>232</v>
      </c>
      <c r="C22" s="219" t="s">
        <v>248</v>
      </c>
      <c r="D22" s="200" t="s">
        <v>362</v>
      </c>
      <c r="E22" s="198">
        <v>450</v>
      </c>
      <c r="F22" s="210">
        <v>-1</v>
      </c>
      <c r="G22" s="202">
        <v>35</v>
      </c>
      <c r="H22" s="203">
        <f t="shared" ref="H22:H23" si="5">E22/26*F22</f>
        <v>-17.307692307692307</v>
      </c>
      <c r="I22" s="203">
        <f t="shared" ref="I22:I23" si="6">E22/26*G22</f>
        <v>605.76923076923072</v>
      </c>
      <c r="J22" s="204">
        <v>0</v>
      </c>
      <c r="K22" s="204">
        <v>0</v>
      </c>
      <c r="L22" s="204">
        <v>0</v>
      </c>
      <c r="M22" s="203">
        <f t="shared" ref="M22:M23" si="7">H22+I22+J22+K22+L22</f>
        <v>588.46153846153845</v>
      </c>
      <c r="N22" s="204">
        <v>0</v>
      </c>
      <c r="O22" s="203">
        <v>0</v>
      </c>
      <c r="P22" s="204">
        <v>0</v>
      </c>
      <c r="Q22" s="204">
        <v>0</v>
      </c>
      <c r="R22" s="205">
        <f t="shared" ref="R22:R23" si="8">M22-N22-O22-P22-Q22</f>
        <v>588.46153846153845</v>
      </c>
      <c r="S22" s="206">
        <f>R22</f>
        <v>588.46153846153845</v>
      </c>
      <c r="T22" s="205" t="s">
        <v>350</v>
      </c>
      <c r="U22" s="205">
        <v>0</v>
      </c>
      <c r="V22" s="220" t="s">
        <v>176</v>
      </c>
    </row>
    <row r="23" spans="1:22" ht="45.65" customHeight="1" x14ac:dyDescent="0.5">
      <c r="A23" s="197">
        <v>18</v>
      </c>
      <c r="B23" s="198" t="s">
        <v>233</v>
      </c>
      <c r="C23" s="208" t="s">
        <v>130</v>
      </c>
      <c r="D23" s="200" t="s">
        <v>372</v>
      </c>
      <c r="E23" s="198">
        <v>550</v>
      </c>
      <c r="F23" s="202">
        <v>26</v>
      </c>
      <c r="G23" s="202">
        <v>0</v>
      </c>
      <c r="H23" s="203">
        <f t="shared" si="5"/>
        <v>550</v>
      </c>
      <c r="I23" s="203">
        <f t="shared" si="6"/>
        <v>0</v>
      </c>
      <c r="J23" s="203">
        <v>0</v>
      </c>
      <c r="K23" s="203">
        <v>0</v>
      </c>
      <c r="L23" s="203">
        <v>0</v>
      </c>
      <c r="M23" s="203">
        <f t="shared" si="7"/>
        <v>550</v>
      </c>
      <c r="N23" s="203">
        <v>0</v>
      </c>
      <c r="O23" s="203">
        <v>0</v>
      </c>
      <c r="P23" s="203">
        <v>0</v>
      </c>
      <c r="Q23" s="204">
        <v>0</v>
      </c>
      <c r="R23" s="205">
        <f t="shared" si="8"/>
        <v>550</v>
      </c>
      <c r="S23" s="205">
        <f t="shared" ref="S23" si="9">R23</f>
        <v>550</v>
      </c>
      <c r="T23" s="205" t="s">
        <v>350</v>
      </c>
      <c r="U23" s="205">
        <v>0</v>
      </c>
      <c r="V23" s="207"/>
    </row>
    <row r="24" spans="1:22" ht="45.65" customHeight="1" x14ac:dyDescent="0.5">
      <c r="A24" s="197">
        <v>19</v>
      </c>
      <c r="B24" s="198" t="s">
        <v>235</v>
      </c>
      <c r="C24" s="208" t="s">
        <v>132</v>
      </c>
      <c r="D24" s="200" t="s">
        <v>361</v>
      </c>
      <c r="E24" s="198">
        <v>450</v>
      </c>
      <c r="F24" s="202">
        <v>26</v>
      </c>
      <c r="G24" s="202">
        <v>0</v>
      </c>
      <c r="H24" s="203">
        <f t="shared" si="0"/>
        <v>450</v>
      </c>
      <c r="I24" s="203">
        <f t="shared" si="1"/>
        <v>0</v>
      </c>
      <c r="J24" s="203">
        <v>0</v>
      </c>
      <c r="K24" s="203">
        <v>0</v>
      </c>
      <c r="L24" s="203">
        <v>0</v>
      </c>
      <c r="M24" s="203">
        <f t="shared" si="2"/>
        <v>450</v>
      </c>
      <c r="N24" s="203">
        <v>0</v>
      </c>
      <c r="O24" s="203">
        <v>5.7690000000000001</v>
      </c>
      <c r="P24" s="203">
        <v>0</v>
      </c>
      <c r="Q24" s="204">
        <v>0</v>
      </c>
      <c r="R24" s="205">
        <f t="shared" si="3"/>
        <v>444.23099999999999</v>
      </c>
      <c r="S24" s="205">
        <f t="shared" ref="S24:S26" si="10">R24</f>
        <v>444.23099999999999</v>
      </c>
      <c r="T24" s="205" t="s">
        <v>350</v>
      </c>
      <c r="U24" s="205">
        <v>0</v>
      </c>
      <c r="V24" s="207"/>
    </row>
    <row r="25" spans="1:22" ht="45.65" customHeight="1" x14ac:dyDescent="0.5">
      <c r="A25" s="197">
        <v>20</v>
      </c>
      <c r="B25" s="106" t="s">
        <v>305</v>
      </c>
      <c r="C25" s="120" t="s">
        <v>303</v>
      </c>
      <c r="D25" s="200" t="s">
        <v>377</v>
      </c>
      <c r="E25" s="106">
        <v>250</v>
      </c>
      <c r="F25" s="110">
        <v>19</v>
      </c>
      <c r="G25" s="110">
        <v>0</v>
      </c>
      <c r="H25" s="111">
        <f t="shared" si="0"/>
        <v>182.69230769230768</v>
      </c>
      <c r="I25" s="111">
        <f t="shared" si="1"/>
        <v>0</v>
      </c>
      <c r="J25" s="111">
        <v>0</v>
      </c>
      <c r="K25" s="111">
        <v>0</v>
      </c>
      <c r="L25" s="111">
        <v>0</v>
      </c>
      <c r="M25" s="111">
        <f t="shared" si="2"/>
        <v>182.69230769230768</v>
      </c>
      <c r="N25" s="111">
        <v>0</v>
      </c>
      <c r="O25" s="111">
        <v>0</v>
      </c>
      <c r="P25" s="111">
        <v>0</v>
      </c>
      <c r="Q25" s="153">
        <v>0</v>
      </c>
      <c r="R25" s="112">
        <f t="shared" si="3"/>
        <v>182.69230769230768</v>
      </c>
      <c r="S25" s="112">
        <f t="shared" si="10"/>
        <v>182.69230769230768</v>
      </c>
      <c r="T25" s="112" t="s">
        <v>350</v>
      </c>
      <c r="U25" s="112">
        <f t="shared" ref="U25" si="11">S25-R25</f>
        <v>0</v>
      </c>
      <c r="V25" s="207"/>
    </row>
    <row r="26" spans="1:22" ht="45.65" customHeight="1" x14ac:dyDescent="0.5">
      <c r="A26" s="197">
        <v>21</v>
      </c>
      <c r="B26" s="198" t="s">
        <v>297</v>
      </c>
      <c r="C26" s="211" t="s">
        <v>301</v>
      </c>
      <c r="D26" s="200" t="s">
        <v>376</v>
      </c>
      <c r="E26" s="212">
        <v>270</v>
      </c>
      <c r="F26" s="202">
        <v>26</v>
      </c>
      <c r="G26" s="202">
        <v>0</v>
      </c>
      <c r="H26" s="203">
        <f t="shared" si="0"/>
        <v>270</v>
      </c>
      <c r="I26" s="203">
        <f t="shared" si="1"/>
        <v>0</v>
      </c>
      <c r="J26" s="203">
        <v>0</v>
      </c>
      <c r="K26" s="203">
        <v>0</v>
      </c>
      <c r="L26" s="203">
        <v>0</v>
      </c>
      <c r="M26" s="203">
        <f t="shared" si="2"/>
        <v>270</v>
      </c>
      <c r="N26" s="203">
        <v>0</v>
      </c>
      <c r="O26" s="203">
        <v>0</v>
      </c>
      <c r="P26" s="203">
        <v>0</v>
      </c>
      <c r="Q26" s="204">
        <v>0</v>
      </c>
      <c r="R26" s="205">
        <f t="shared" si="3"/>
        <v>270</v>
      </c>
      <c r="S26" s="205">
        <f t="shared" si="10"/>
        <v>270</v>
      </c>
      <c r="T26" s="205" t="s">
        <v>350</v>
      </c>
      <c r="U26" s="205">
        <v>0</v>
      </c>
      <c r="V26" s="207"/>
    </row>
    <row r="27" spans="1:22" ht="45.65" customHeight="1" x14ac:dyDescent="0.5">
      <c r="A27" s="197">
        <v>22</v>
      </c>
      <c r="B27" s="198" t="s">
        <v>370</v>
      </c>
      <c r="C27" s="199" t="s">
        <v>368</v>
      </c>
      <c r="D27" s="200" t="s">
        <v>369</v>
      </c>
      <c r="E27" s="198">
        <v>100</v>
      </c>
      <c r="F27" s="202">
        <v>26</v>
      </c>
      <c r="G27" s="202">
        <v>0</v>
      </c>
      <c r="H27" s="203">
        <f t="shared" ref="H27" si="12">E27/26*F27</f>
        <v>100</v>
      </c>
      <c r="I27" s="203">
        <f t="shared" ref="I27" si="13">E27/26*G27</f>
        <v>0</v>
      </c>
      <c r="J27" s="203">
        <v>0</v>
      </c>
      <c r="K27" s="203">
        <v>0</v>
      </c>
      <c r="L27" s="203">
        <v>0</v>
      </c>
      <c r="M27" s="203">
        <f t="shared" ref="M27" si="14">H27+I27+J27+K27+L27</f>
        <v>100</v>
      </c>
      <c r="N27" s="203">
        <v>0</v>
      </c>
      <c r="O27" s="203">
        <v>0</v>
      </c>
      <c r="P27" s="203">
        <v>0</v>
      </c>
      <c r="Q27" s="204">
        <v>0</v>
      </c>
      <c r="R27" s="205">
        <f t="shared" ref="R27" si="15">M27-N27-O27-P27-Q27</f>
        <v>100</v>
      </c>
      <c r="S27" s="205">
        <f t="shared" ref="S27" si="16">R27</f>
        <v>100</v>
      </c>
      <c r="T27" s="205" t="s">
        <v>350</v>
      </c>
      <c r="U27" s="205">
        <v>0</v>
      </c>
      <c r="V27" s="207"/>
    </row>
    <row r="28" spans="1:22" ht="45.65" customHeight="1" x14ac:dyDescent="0.5">
      <c r="A28" s="197">
        <v>23</v>
      </c>
      <c r="B28" s="198" t="s">
        <v>237</v>
      </c>
      <c r="C28" s="211" t="s">
        <v>213</v>
      </c>
      <c r="D28" s="200" t="s">
        <v>360</v>
      </c>
      <c r="E28" s="213">
        <v>444.8</v>
      </c>
      <c r="F28" s="202">
        <v>26</v>
      </c>
      <c r="G28" s="202">
        <v>0</v>
      </c>
      <c r="H28" s="203">
        <f t="shared" si="0"/>
        <v>444.8</v>
      </c>
      <c r="I28" s="203">
        <f t="shared" si="1"/>
        <v>0</v>
      </c>
      <c r="J28" s="203">
        <v>0</v>
      </c>
      <c r="K28" s="203">
        <v>0</v>
      </c>
      <c r="L28" s="203">
        <v>0</v>
      </c>
      <c r="M28" s="203">
        <f t="shared" si="2"/>
        <v>444.8</v>
      </c>
      <c r="N28" s="203">
        <v>0</v>
      </c>
      <c r="O28" s="203">
        <v>0</v>
      </c>
      <c r="P28" s="203">
        <v>0</v>
      </c>
      <c r="Q28" s="204">
        <v>0</v>
      </c>
      <c r="R28" s="205">
        <f t="shared" si="3"/>
        <v>444.8</v>
      </c>
      <c r="S28" s="205">
        <f>R28+U28</f>
        <v>600</v>
      </c>
      <c r="T28" s="205" t="s">
        <v>350</v>
      </c>
      <c r="U28" s="205">
        <v>155.19999999999999</v>
      </c>
      <c r="V28" s="207" t="s">
        <v>176</v>
      </c>
    </row>
    <row r="29" spans="1:22" ht="45.65" customHeight="1" x14ac:dyDescent="0.5">
      <c r="A29" s="197">
        <v>24</v>
      </c>
      <c r="B29" s="198" t="s">
        <v>238</v>
      </c>
      <c r="C29" s="211" t="s">
        <v>214</v>
      </c>
      <c r="D29" s="200" t="s">
        <v>359</v>
      </c>
      <c r="E29" s="214">
        <v>442.88299999999998</v>
      </c>
      <c r="F29" s="202">
        <v>26</v>
      </c>
      <c r="G29" s="202">
        <v>0</v>
      </c>
      <c r="H29" s="203">
        <f t="shared" ref="H29:H30" si="17">E29/26*F29</f>
        <v>442.88299999999992</v>
      </c>
      <c r="I29" s="203">
        <f t="shared" ref="I29:I30" si="18">E29/26*G29</f>
        <v>0</v>
      </c>
      <c r="J29" s="203">
        <v>0</v>
      </c>
      <c r="K29" s="203">
        <v>0</v>
      </c>
      <c r="L29" s="203">
        <v>0</v>
      </c>
      <c r="M29" s="203">
        <f t="shared" ref="M29:M30" si="19">H29+I29+J29+K29+L29</f>
        <v>442.88299999999992</v>
      </c>
      <c r="N29" s="203">
        <v>0</v>
      </c>
      <c r="O29" s="203">
        <v>2.8319999999999999</v>
      </c>
      <c r="P29" s="203">
        <v>0</v>
      </c>
      <c r="Q29" s="204">
        <v>0</v>
      </c>
      <c r="R29" s="205">
        <f t="shared" ref="R29:R30" si="20">M29-N29-O29-P29-Q29</f>
        <v>440.05099999999993</v>
      </c>
      <c r="S29" s="205">
        <f>R29+U29</f>
        <v>597.16799999999989</v>
      </c>
      <c r="T29" s="205" t="s">
        <v>350</v>
      </c>
      <c r="U29" s="205">
        <v>157.11699999999999</v>
      </c>
      <c r="V29" s="207"/>
    </row>
    <row r="30" spans="1:22" ht="45.65" customHeight="1" thickBot="1" x14ac:dyDescent="0.55000000000000004">
      <c r="A30" s="197">
        <v>25</v>
      </c>
      <c r="B30" s="198" t="s">
        <v>375</v>
      </c>
      <c r="C30" s="211" t="s">
        <v>175</v>
      </c>
      <c r="D30" s="215" t="s">
        <v>315</v>
      </c>
      <c r="E30" s="212">
        <v>0</v>
      </c>
      <c r="F30" s="202">
        <v>26</v>
      </c>
      <c r="G30" s="202">
        <v>0</v>
      </c>
      <c r="H30" s="203">
        <f t="shared" si="17"/>
        <v>0</v>
      </c>
      <c r="I30" s="203">
        <f t="shared" si="18"/>
        <v>0</v>
      </c>
      <c r="J30" s="203">
        <v>0</v>
      </c>
      <c r="K30" s="203">
        <v>0</v>
      </c>
      <c r="L30" s="203">
        <v>0</v>
      </c>
      <c r="M30" s="203">
        <f t="shared" si="19"/>
        <v>0</v>
      </c>
      <c r="N30" s="203">
        <v>0</v>
      </c>
      <c r="O30" s="203">
        <v>0</v>
      </c>
      <c r="P30" s="203">
        <v>0</v>
      </c>
      <c r="Q30" s="204">
        <v>0</v>
      </c>
      <c r="R30" s="205">
        <f t="shared" si="20"/>
        <v>0</v>
      </c>
      <c r="S30" s="205">
        <f>R30+U30</f>
        <v>300</v>
      </c>
      <c r="T30" s="205" t="s">
        <v>350</v>
      </c>
      <c r="U30" s="205">
        <v>300</v>
      </c>
      <c r="V30" s="207" t="s">
        <v>176</v>
      </c>
    </row>
    <row r="31" spans="1:22" ht="50.15" customHeight="1" thickBot="1" x14ac:dyDescent="0.45">
      <c r="A31" s="216"/>
      <c r="B31" s="216"/>
      <c r="C31" s="216"/>
      <c r="D31" s="216"/>
      <c r="E31" s="217">
        <f>SUBTOTAL(9,E6:E30)</f>
        <v>7662.683</v>
      </c>
      <c r="F31" s="216"/>
      <c r="G31" s="218"/>
      <c r="H31" s="217">
        <f>SUBTOTAL(9,H7:H30)</f>
        <v>6684.221461538461</v>
      </c>
      <c r="I31" s="217">
        <f>SUBTOTAL(9,I7:I30)</f>
        <v>639.61538461538453</v>
      </c>
      <c r="J31" s="217">
        <f t="shared" ref="J31:S31" si="21">SUBTOTAL(9,J6:J30)</f>
        <v>0</v>
      </c>
      <c r="K31" s="217">
        <f t="shared" si="21"/>
        <v>0</v>
      </c>
      <c r="L31" s="217">
        <f t="shared" si="21"/>
        <v>300</v>
      </c>
      <c r="M31" s="217">
        <f t="shared" si="21"/>
        <v>8033.8368461538457</v>
      </c>
      <c r="N31" s="217">
        <f t="shared" si="21"/>
        <v>0</v>
      </c>
      <c r="O31" s="217">
        <f t="shared" si="21"/>
        <v>8.6009999999999991</v>
      </c>
      <c r="P31" s="217">
        <f t="shared" si="21"/>
        <v>20</v>
      </c>
      <c r="Q31" s="217">
        <f t="shared" si="21"/>
        <v>0</v>
      </c>
      <c r="R31" s="217">
        <f t="shared" si="21"/>
        <v>8005.2358461538461</v>
      </c>
      <c r="S31" s="217">
        <f t="shared" si="21"/>
        <v>9407.5528461538452</v>
      </c>
      <c r="T31" s="217"/>
      <c r="U31" s="217">
        <f>SUBTOTAL(9,U6:U30)</f>
        <v>1402.317</v>
      </c>
      <c r="V31" s="217"/>
    </row>
    <row r="33" spans="3:19" s="190" customFormat="1" ht="20.6" x14ac:dyDescent="0.55000000000000004">
      <c r="C33" s="190" t="s">
        <v>312</v>
      </c>
      <c r="H33" s="190" t="s">
        <v>313</v>
      </c>
      <c r="S33" s="190" t="s">
        <v>314</v>
      </c>
    </row>
    <row r="35" spans="3:19" x14ac:dyDescent="0.4">
      <c r="M35" s="123"/>
      <c r="P35" s="123"/>
    </row>
    <row r="36" spans="3:19" x14ac:dyDescent="0.4">
      <c r="S36" s="123"/>
    </row>
  </sheetData>
  <autoFilter ref="A5:V33" xr:uid="{00000000-0001-0000-0300-000000000000}"/>
  <mergeCells count="17">
    <mergeCell ref="G4:G5"/>
    <mergeCell ref="A1:V1"/>
    <mergeCell ref="A2:V2"/>
    <mergeCell ref="A3:V3"/>
    <mergeCell ref="A4:A5"/>
    <mergeCell ref="B4:B5"/>
    <mergeCell ref="C4:C5"/>
    <mergeCell ref="D4:D5"/>
    <mergeCell ref="E4:E5"/>
    <mergeCell ref="F4:F5"/>
    <mergeCell ref="H4:M4"/>
    <mergeCell ref="N4:Q4"/>
    <mergeCell ref="R4:R5"/>
    <mergeCell ref="V4:V5"/>
    <mergeCell ref="U4:U5"/>
    <mergeCell ref="T4:T5"/>
    <mergeCell ref="S4:S5"/>
  </mergeCells>
  <conditionalFormatting sqref="C6">
    <cfRule type="duplicateValues" dxfId="9" priority="6"/>
  </conditionalFormatting>
  <conditionalFormatting sqref="C22:C23">
    <cfRule type="duplicateValues" dxfId="8" priority="4"/>
  </conditionalFormatting>
  <conditionalFormatting sqref="C24 C7:C21 C26:C29">
    <cfRule type="duplicateValues" dxfId="7" priority="870"/>
  </conditionalFormatting>
  <conditionalFormatting sqref="C25">
    <cfRule type="duplicateValues" dxfId="6" priority="1"/>
  </conditionalFormatting>
  <conditionalFormatting sqref="C30">
    <cfRule type="duplicateValues" dxfId="5" priority="5"/>
  </conditionalFormatting>
  <printOptions horizontalCentered="1"/>
  <pageMargins left="0.25" right="0.25" top="0.75" bottom="0.75" header="0.3" footer="0.3"/>
  <pageSetup paperSize="9" scale="3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F48-4A8F-4AF9-8C6A-7E2967D2E022}">
  <sheetPr>
    <pageSetUpPr fitToPage="1"/>
  </sheetPr>
  <dimension ref="A1:Y66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7" sqref="K7"/>
    </sheetView>
  </sheetViews>
  <sheetFormatPr defaultRowHeight="14.6" x14ac:dyDescent="0.4"/>
  <cols>
    <col min="2" max="2" width="17.69140625" customWidth="1"/>
    <col min="3" max="3" width="45.3046875" style="4" customWidth="1"/>
    <col min="4" max="4" width="15.3828125" customWidth="1"/>
    <col min="5" max="5" width="19.15234375" customWidth="1"/>
    <col min="6" max="6" width="15.3828125" customWidth="1"/>
    <col min="7" max="7" width="16" hidden="1" customWidth="1"/>
    <col min="8" max="8" width="18.3828125" customWidth="1"/>
    <col min="9" max="9" width="12" customWidth="1"/>
    <col min="10" max="10" width="10.84375" customWidth="1"/>
    <col min="11" max="11" width="21.30468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16.6914062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4" width="21.15234375" customWidth="1"/>
    <col min="25" max="25" width="36.3046875" customWidth="1"/>
  </cols>
  <sheetData>
    <row r="1" spans="1:25" ht="51.65" customHeight="1" thickBot="1" x14ac:dyDescent="0.45">
      <c r="A1" s="261" t="s">
        <v>316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</row>
    <row r="2" spans="1:25" ht="53.15" customHeight="1" thickBot="1" x14ac:dyDescent="0.45">
      <c r="A2" s="247" t="s">
        <v>318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</row>
    <row r="3" spans="1:25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</row>
    <row r="4" spans="1:25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263" t="s">
        <v>310</v>
      </c>
      <c r="F4" s="263" t="s">
        <v>309</v>
      </c>
      <c r="G4" s="226" t="s">
        <v>5</v>
      </c>
      <c r="H4" s="226" t="s">
        <v>7</v>
      </c>
      <c r="I4" s="226" t="s">
        <v>21</v>
      </c>
      <c r="J4" s="226" t="s">
        <v>317</v>
      </c>
      <c r="K4" s="228" t="s">
        <v>3</v>
      </c>
      <c r="L4" s="228"/>
      <c r="M4" s="228"/>
      <c r="N4" s="228"/>
      <c r="O4" s="228"/>
      <c r="P4" s="228"/>
      <c r="Q4" s="228" t="s">
        <v>1</v>
      </c>
      <c r="R4" s="228"/>
      <c r="S4" s="228"/>
      <c r="T4" s="228"/>
      <c r="U4" s="226" t="s">
        <v>19</v>
      </c>
      <c r="V4" s="265" t="s">
        <v>321</v>
      </c>
      <c r="W4" s="266"/>
      <c r="X4" s="229" t="s">
        <v>311</v>
      </c>
      <c r="Y4" s="226" t="s">
        <v>20</v>
      </c>
    </row>
    <row r="5" spans="1:25" s="71" customFormat="1" ht="88.5" customHeight="1" x14ac:dyDescent="0.5">
      <c r="A5" s="225"/>
      <c r="B5" s="226"/>
      <c r="C5" s="226"/>
      <c r="D5" s="227"/>
      <c r="E5" s="264"/>
      <c r="F5" s="264"/>
      <c r="G5" s="225"/>
      <c r="H5" s="226"/>
      <c r="I5" s="226"/>
      <c r="J5" s="226"/>
      <c r="K5" s="104" t="s">
        <v>9</v>
      </c>
      <c r="L5" s="104" t="s">
        <v>10</v>
      </c>
      <c r="M5" s="104" t="s">
        <v>11</v>
      </c>
      <c r="N5" s="104" t="s">
        <v>12</v>
      </c>
      <c r="O5" s="104" t="s">
        <v>14</v>
      </c>
      <c r="P5" s="104" t="s">
        <v>15</v>
      </c>
      <c r="Q5" s="104" t="s">
        <v>16</v>
      </c>
      <c r="R5" s="104" t="s">
        <v>17</v>
      </c>
      <c r="S5" s="104" t="s">
        <v>18</v>
      </c>
      <c r="T5" s="192" t="s">
        <v>14</v>
      </c>
      <c r="U5" s="226"/>
      <c r="V5" s="196" t="s">
        <v>319</v>
      </c>
      <c r="W5" s="191" t="s">
        <v>320</v>
      </c>
      <c r="X5" s="230"/>
      <c r="Y5" s="226"/>
    </row>
    <row r="6" spans="1:25" ht="45.65" customHeight="1" x14ac:dyDescent="0.55000000000000004">
      <c r="A6" s="105">
        <v>1</v>
      </c>
      <c r="B6" s="106" t="s">
        <v>216</v>
      </c>
      <c r="C6" s="122" t="s">
        <v>198</v>
      </c>
      <c r="D6" s="121"/>
      <c r="E6" s="121" t="s">
        <v>322</v>
      </c>
      <c r="F6" s="121" t="s">
        <v>324</v>
      </c>
      <c r="G6" s="122" t="s">
        <v>146</v>
      </c>
      <c r="H6" s="113">
        <v>410</v>
      </c>
      <c r="I6" s="110">
        <v>26</v>
      </c>
      <c r="J6" s="110">
        <v>0</v>
      </c>
      <c r="K6" s="111">
        <f>H6/26*I6</f>
        <v>410</v>
      </c>
      <c r="L6" s="111">
        <f>H6/26*J6</f>
        <v>0</v>
      </c>
      <c r="M6" s="111">
        <v>0</v>
      </c>
      <c r="N6" s="111">
        <v>0</v>
      </c>
      <c r="O6" s="111">
        <v>0</v>
      </c>
      <c r="P6" s="111">
        <f>K6+L6+M6+N6+O6</f>
        <v>410</v>
      </c>
      <c r="Q6" s="111">
        <v>0</v>
      </c>
      <c r="R6" s="111">
        <v>0</v>
      </c>
      <c r="S6" s="111">
        <v>0</v>
      </c>
      <c r="T6" s="153">
        <v>0</v>
      </c>
      <c r="U6" s="112">
        <f>P6-Q6-R6-S6-T6</f>
        <v>410</v>
      </c>
      <c r="V6" s="112">
        <v>800</v>
      </c>
      <c r="W6" s="112"/>
      <c r="X6" s="112">
        <f>V6-U6</f>
        <v>390</v>
      </c>
      <c r="Y6" s="52" t="s">
        <v>176</v>
      </c>
    </row>
    <row r="7" spans="1:25" ht="45.65" customHeight="1" x14ac:dyDescent="0.55000000000000004">
      <c r="A7" s="105">
        <v>2</v>
      </c>
      <c r="B7" s="106" t="s">
        <v>263</v>
      </c>
      <c r="C7" s="120" t="s">
        <v>244</v>
      </c>
      <c r="D7" s="121"/>
      <c r="E7" s="121" t="s">
        <v>325</v>
      </c>
      <c r="F7" s="121" t="s">
        <v>326</v>
      </c>
      <c r="G7" s="120"/>
      <c r="H7" s="106">
        <v>150</v>
      </c>
      <c r="I7" s="110">
        <v>26</v>
      </c>
      <c r="J7" s="110">
        <v>0</v>
      </c>
      <c r="K7" s="111">
        <f t="shared" ref="K7:K60" si="0">H7/26*I7</f>
        <v>150</v>
      </c>
      <c r="L7" s="111">
        <f t="shared" ref="L7:L57" si="1">H7/26*J7</f>
        <v>0</v>
      </c>
      <c r="M7" s="111">
        <v>0</v>
      </c>
      <c r="N7" s="111">
        <v>0</v>
      </c>
      <c r="O7" s="111">
        <v>0</v>
      </c>
      <c r="P7" s="111">
        <f t="shared" ref="P7:P60" si="2">K7+L7+M7+N7+O7</f>
        <v>150</v>
      </c>
      <c r="Q7" s="111">
        <v>0</v>
      </c>
      <c r="R7" s="111">
        <v>0</v>
      </c>
      <c r="S7" s="111">
        <v>0</v>
      </c>
      <c r="T7" s="153">
        <v>0</v>
      </c>
      <c r="U7" s="112">
        <f t="shared" ref="U7:U60" si="3">P7-Q7-R7-S7-T7</f>
        <v>150</v>
      </c>
      <c r="V7" s="112">
        <f>U7</f>
        <v>150</v>
      </c>
      <c r="W7" s="112"/>
      <c r="X7" s="112">
        <f t="shared" ref="X7:X60" si="4">V7-U7</f>
        <v>0</v>
      </c>
      <c r="Y7" s="51"/>
    </row>
    <row r="8" spans="1:25" ht="45.65" customHeight="1" x14ac:dyDescent="0.55000000000000004">
      <c r="A8" s="105">
        <v>3</v>
      </c>
      <c r="B8" s="106" t="s">
        <v>264</v>
      </c>
      <c r="C8" s="120" t="s">
        <v>245</v>
      </c>
      <c r="D8" s="121"/>
      <c r="E8" s="121" t="s">
        <v>325</v>
      </c>
      <c r="F8" s="121" t="s">
        <v>327</v>
      </c>
      <c r="G8" s="120" t="s">
        <v>147</v>
      </c>
      <c r="H8" s="106">
        <v>255</v>
      </c>
      <c r="I8" s="110">
        <v>26</v>
      </c>
      <c r="J8" s="110">
        <v>0</v>
      </c>
      <c r="K8" s="111">
        <f t="shared" si="0"/>
        <v>255.00000000000003</v>
      </c>
      <c r="L8" s="111">
        <f t="shared" si="1"/>
        <v>0</v>
      </c>
      <c r="M8" s="111">
        <v>0</v>
      </c>
      <c r="N8" s="111">
        <v>0</v>
      </c>
      <c r="O8" s="111">
        <v>0</v>
      </c>
      <c r="P8" s="111">
        <f t="shared" si="2"/>
        <v>255.00000000000003</v>
      </c>
      <c r="Q8" s="111">
        <v>0</v>
      </c>
      <c r="R8" s="111">
        <v>0</v>
      </c>
      <c r="S8" s="111">
        <v>0</v>
      </c>
      <c r="T8" s="153">
        <v>0</v>
      </c>
      <c r="U8" s="112">
        <f t="shared" si="3"/>
        <v>255.00000000000003</v>
      </c>
      <c r="V8" s="112">
        <f t="shared" ref="V8:V32" si="5">U8</f>
        <v>255.00000000000003</v>
      </c>
      <c r="W8" s="112"/>
      <c r="X8" s="112">
        <f t="shared" si="4"/>
        <v>0</v>
      </c>
      <c r="Y8" s="53"/>
    </row>
    <row r="9" spans="1:25" ht="45.65" customHeight="1" x14ac:dyDescent="0.55000000000000004">
      <c r="A9" s="105">
        <v>4</v>
      </c>
      <c r="B9" s="106" t="s">
        <v>265</v>
      </c>
      <c r="C9" s="120" t="s">
        <v>246</v>
      </c>
      <c r="D9" s="121"/>
      <c r="E9" s="121" t="s">
        <v>325</v>
      </c>
      <c r="F9" s="121" t="s">
        <v>328</v>
      </c>
      <c r="G9" s="120" t="s">
        <v>148</v>
      </c>
      <c r="H9" s="106">
        <v>150</v>
      </c>
      <c r="I9" s="110">
        <v>26</v>
      </c>
      <c r="J9" s="110">
        <v>0</v>
      </c>
      <c r="K9" s="111">
        <f t="shared" si="0"/>
        <v>150</v>
      </c>
      <c r="L9" s="111">
        <f t="shared" si="1"/>
        <v>0</v>
      </c>
      <c r="M9" s="111">
        <v>0</v>
      </c>
      <c r="N9" s="111">
        <v>0</v>
      </c>
      <c r="O9" s="111">
        <v>0</v>
      </c>
      <c r="P9" s="111">
        <f t="shared" si="2"/>
        <v>150</v>
      </c>
      <c r="Q9" s="111">
        <v>0</v>
      </c>
      <c r="R9" s="111">
        <v>0</v>
      </c>
      <c r="S9" s="111">
        <v>0</v>
      </c>
      <c r="T9" s="153">
        <v>0</v>
      </c>
      <c r="U9" s="112">
        <f t="shared" si="3"/>
        <v>150</v>
      </c>
      <c r="V9" s="112">
        <f t="shared" si="5"/>
        <v>150</v>
      </c>
      <c r="W9" s="112"/>
      <c r="X9" s="112">
        <f t="shared" si="4"/>
        <v>0</v>
      </c>
      <c r="Y9" s="53"/>
    </row>
    <row r="10" spans="1:25" ht="45.65" customHeight="1" x14ac:dyDescent="0.55000000000000004">
      <c r="A10" s="105">
        <v>5</v>
      </c>
      <c r="B10" s="106" t="s">
        <v>266</v>
      </c>
      <c r="C10" s="120" t="s">
        <v>101</v>
      </c>
      <c r="D10" s="121"/>
      <c r="E10" s="121" t="s">
        <v>329</v>
      </c>
      <c r="F10" s="121" t="s">
        <v>330</v>
      </c>
      <c r="G10" s="120"/>
      <c r="H10" s="106">
        <v>430</v>
      </c>
      <c r="I10" s="110">
        <v>26</v>
      </c>
      <c r="J10" s="110">
        <v>0</v>
      </c>
      <c r="K10" s="111">
        <f t="shared" si="0"/>
        <v>430.00000000000006</v>
      </c>
      <c r="L10" s="111">
        <f t="shared" si="1"/>
        <v>0</v>
      </c>
      <c r="M10" s="111">
        <v>0</v>
      </c>
      <c r="N10" s="111">
        <v>0</v>
      </c>
      <c r="O10" s="111">
        <v>0</v>
      </c>
      <c r="P10" s="111">
        <f t="shared" si="2"/>
        <v>430.00000000000006</v>
      </c>
      <c r="Q10" s="111">
        <v>0</v>
      </c>
      <c r="R10" s="111">
        <v>0</v>
      </c>
      <c r="S10" s="111">
        <v>0</v>
      </c>
      <c r="T10" s="153">
        <v>0</v>
      </c>
      <c r="U10" s="112">
        <f t="shared" si="3"/>
        <v>430.00000000000006</v>
      </c>
      <c r="V10" s="112">
        <f t="shared" si="5"/>
        <v>430.00000000000006</v>
      </c>
      <c r="W10" s="112"/>
      <c r="X10" s="112">
        <f t="shared" si="4"/>
        <v>0</v>
      </c>
      <c r="Y10" s="53"/>
    </row>
    <row r="11" spans="1:25" ht="45.65" customHeight="1" x14ac:dyDescent="0.55000000000000004">
      <c r="A11" s="105">
        <v>6</v>
      </c>
      <c r="B11" s="106" t="s">
        <v>217</v>
      </c>
      <c r="C11" s="120" t="s">
        <v>199</v>
      </c>
      <c r="D11" s="121"/>
      <c r="E11" s="121" t="s">
        <v>331</v>
      </c>
      <c r="F11" s="121" t="s">
        <v>332</v>
      </c>
      <c r="G11" s="120" t="s">
        <v>87</v>
      </c>
      <c r="H11" s="106">
        <v>240</v>
      </c>
      <c r="I11" s="110">
        <v>26</v>
      </c>
      <c r="J11" s="110">
        <v>0</v>
      </c>
      <c r="K11" s="111">
        <f t="shared" si="0"/>
        <v>239.99999999999997</v>
      </c>
      <c r="L11" s="111">
        <f t="shared" si="1"/>
        <v>0</v>
      </c>
      <c r="M11" s="111">
        <v>0</v>
      </c>
      <c r="N11" s="111">
        <v>0</v>
      </c>
      <c r="O11" s="111">
        <v>0</v>
      </c>
      <c r="P11" s="111">
        <f t="shared" si="2"/>
        <v>239.99999999999997</v>
      </c>
      <c r="Q11" s="111">
        <v>0</v>
      </c>
      <c r="R11" s="111">
        <v>0</v>
      </c>
      <c r="S11" s="111">
        <v>50</v>
      </c>
      <c r="T11" s="153">
        <v>0</v>
      </c>
      <c r="U11" s="112">
        <f t="shared" si="3"/>
        <v>189.99999999999997</v>
      </c>
      <c r="V11" s="112">
        <f t="shared" si="5"/>
        <v>189.99999999999997</v>
      </c>
      <c r="W11" s="112"/>
      <c r="X11" s="112">
        <f t="shared" si="4"/>
        <v>0</v>
      </c>
      <c r="Y11" s="53"/>
    </row>
    <row r="12" spans="1:25" ht="45.65" customHeight="1" x14ac:dyDescent="0.55000000000000004">
      <c r="A12" s="105">
        <v>7</v>
      </c>
      <c r="B12" s="106" t="s">
        <v>218</v>
      </c>
      <c r="C12" s="120" t="s">
        <v>103</v>
      </c>
      <c r="D12" s="121"/>
      <c r="E12" s="121" t="s">
        <v>325</v>
      </c>
      <c r="F12" s="121" t="s">
        <v>333</v>
      </c>
      <c r="G12" s="120" t="s">
        <v>149</v>
      </c>
      <c r="H12" s="106">
        <v>330</v>
      </c>
      <c r="I12" s="110">
        <v>26</v>
      </c>
      <c r="J12" s="110">
        <v>0</v>
      </c>
      <c r="K12" s="111">
        <f t="shared" si="0"/>
        <v>330</v>
      </c>
      <c r="L12" s="111">
        <f t="shared" si="1"/>
        <v>0</v>
      </c>
      <c r="M12" s="111">
        <v>30</v>
      </c>
      <c r="N12" s="111">
        <v>0</v>
      </c>
      <c r="O12" s="111">
        <v>0</v>
      </c>
      <c r="P12" s="111">
        <f t="shared" si="2"/>
        <v>360</v>
      </c>
      <c r="Q12" s="111">
        <v>0</v>
      </c>
      <c r="R12" s="111">
        <v>0</v>
      </c>
      <c r="S12" s="111">
        <v>0</v>
      </c>
      <c r="T12" s="153">
        <v>0</v>
      </c>
      <c r="U12" s="112">
        <f t="shared" si="3"/>
        <v>360</v>
      </c>
      <c r="V12" s="112">
        <f t="shared" si="5"/>
        <v>360</v>
      </c>
      <c r="W12" s="112"/>
      <c r="X12" s="112">
        <f t="shared" si="4"/>
        <v>0</v>
      </c>
      <c r="Y12" s="53"/>
    </row>
    <row r="13" spans="1:25" ht="45.65" customHeight="1" x14ac:dyDescent="0.55000000000000004">
      <c r="A13" s="105">
        <v>8</v>
      </c>
      <c r="B13" s="106" t="s">
        <v>219</v>
      </c>
      <c r="C13" s="120" t="s">
        <v>105</v>
      </c>
      <c r="D13" s="121"/>
      <c r="E13" s="121" t="s">
        <v>334</v>
      </c>
      <c r="F13" s="121" t="s">
        <v>335</v>
      </c>
      <c r="G13" s="120" t="s">
        <v>150</v>
      </c>
      <c r="H13" s="106">
        <v>200</v>
      </c>
      <c r="I13" s="110">
        <v>26</v>
      </c>
      <c r="J13" s="110">
        <v>0</v>
      </c>
      <c r="K13" s="111">
        <f t="shared" si="0"/>
        <v>200</v>
      </c>
      <c r="L13" s="111">
        <f t="shared" si="1"/>
        <v>0</v>
      </c>
      <c r="M13" s="111">
        <v>0</v>
      </c>
      <c r="N13" s="111">
        <v>0</v>
      </c>
      <c r="O13" s="111">
        <v>0</v>
      </c>
      <c r="P13" s="111">
        <f t="shared" si="2"/>
        <v>200</v>
      </c>
      <c r="Q13" s="111">
        <v>0</v>
      </c>
      <c r="R13" s="111">
        <v>0</v>
      </c>
      <c r="S13" s="111">
        <v>0</v>
      </c>
      <c r="T13" s="153">
        <v>0</v>
      </c>
      <c r="U13" s="112">
        <f t="shared" si="3"/>
        <v>200</v>
      </c>
      <c r="V13" s="112">
        <f t="shared" si="5"/>
        <v>200</v>
      </c>
      <c r="W13" s="112"/>
      <c r="X13" s="112">
        <f t="shared" si="4"/>
        <v>0</v>
      </c>
      <c r="Y13" s="53"/>
    </row>
    <row r="14" spans="1:25" ht="45.65" customHeight="1" x14ac:dyDescent="0.55000000000000004">
      <c r="A14" s="105">
        <v>9</v>
      </c>
      <c r="B14" s="106" t="s">
        <v>220</v>
      </c>
      <c r="C14" s="120" t="s">
        <v>200</v>
      </c>
      <c r="D14" s="121"/>
      <c r="E14" s="121" t="s">
        <v>331</v>
      </c>
      <c r="F14" s="121" t="s">
        <v>336</v>
      </c>
      <c r="G14" s="120" t="s">
        <v>151</v>
      </c>
      <c r="H14" s="106">
        <v>430</v>
      </c>
      <c r="I14" s="110">
        <v>26</v>
      </c>
      <c r="J14" s="110">
        <v>0</v>
      </c>
      <c r="K14" s="111">
        <f t="shared" si="0"/>
        <v>430.00000000000006</v>
      </c>
      <c r="L14" s="111">
        <f t="shared" si="1"/>
        <v>0</v>
      </c>
      <c r="M14" s="111">
        <v>0</v>
      </c>
      <c r="N14" s="111">
        <v>0</v>
      </c>
      <c r="O14" s="111">
        <v>0</v>
      </c>
      <c r="P14" s="111">
        <f t="shared" si="2"/>
        <v>430.00000000000006</v>
      </c>
      <c r="Q14" s="111">
        <v>0</v>
      </c>
      <c r="R14" s="111">
        <v>0</v>
      </c>
      <c r="S14" s="111">
        <v>0</v>
      </c>
      <c r="T14" s="153">
        <v>0</v>
      </c>
      <c r="U14" s="112">
        <f t="shared" si="3"/>
        <v>430.00000000000006</v>
      </c>
      <c r="V14" s="112">
        <f t="shared" si="5"/>
        <v>430.00000000000006</v>
      </c>
      <c r="W14" s="112"/>
      <c r="X14" s="112">
        <f t="shared" si="4"/>
        <v>0</v>
      </c>
      <c r="Y14" s="53"/>
    </row>
    <row r="15" spans="1:25" ht="45.65" customHeight="1" x14ac:dyDescent="0.55000000000000004">
      <c r="A15" s="105">
        <v>10</v>
      </c>
      <c r="B15" s="106" t="s">
        <v>221</v>
      </c>
      <c r="C15" s="120" t="s">
        <v>201</v>
      </c>
      <c r="D15" s="121"/>
      <c r="E15" s="121" t="s">
        <v>325</v>
      </c>
      <c r="F15" s="121" t="s">
        <v>337</v>
      </c>
      <c r="G15" s="120" t="s">
        <v>152</v>
      </c>
      <c r="H15" s="106">
        <v>450</v>
      </c>
      <c r="I15" s="110">
        <v>26</v>
      </c>
      <c r="J15" s="110">
        <v>0</v>
      </c>
      <c r="K15" s="111">
        <f t="shared" si="0"/>
        <v>450</v>
      </c>
      <c r="L15" s="111">
        <f t="shared" si="1"/>
        <v>0</v>
      </c>
      <c r="M15" s="111">
        <v>0</v>
      </c>
      <c r="N15" s="111">
        <v>0</v>
      </c>
      <c r="O15" s="111">
        <v>0</v>
      </c>
      <c r="P15" s="111">
        <f t="shared" si="2"/>
        <v>450</v>
      </c>
      <c r="Q15" s="111">
        <v>0</v>
      </c>
      <c r="R15" s="111">
        <v>0</v>
      </c>
      <c r="S15" s="111">
        <v>50</v>
      </c>
      <c r="T15" s="153">
        <v>0</v>
      </c>
      <c r="U15" s="112">
        <f t="shared" si="3"/>
        <v>400</v>
      </c>
      <c r="V15" s="112">
        <f t="shared" si="5"/>
        <v>400</v>
      </c>
      <c r="W15" s="112"/>
      <c r="X15" s="112">
        <f t="shared" si="4"/>
        <v>0</v>
      </c>
      <c r="Y15" s="53"/>
    </row>
    <row r="16" spans="1:25" ht="45.65" customHeight="1" x14ac:dyDescent="0.55000000000000004">
      <c r="A16" s="105">
        <v>11</v>
      </c>
      <c r="B16" s="106" t="s">
        <v>222</v>
      </c>
      <c r="C16" s="120" t="s">
        <v>202</v>
      </c>
      <c r="D16" s="121"/>
      <c r="E16" s="121" t="s">
        <v>325</v>
      </c>
      <c r="F16" s="121" t="s">
        <v>337</v>
      </c>
      <c r="G16" s="120" t="s">
        <v>153</v>
      </c>
      <c r="H16" s="106">
        <v>300</v>
      </c>
      <c r="I16" s="110">
        <v>26</v>
      </c>
      <c r="J16" s="110">
        <v>0</v>
      </c>
      <c r="K16" s="111">
        <f t="shared" si="0"/>
        <v>300</v>
      </c>
      <c r="L16" s="111">
        <f t="shared" si="1"/>
        <v>0</v>
      </c>
      <c r="M16" s="111">
        <v>0</v>
      </c>
      <c r="N16" s="111">
        <v>0</v>
      </c>
      <c r="O16" s="126">
        <v>300</v>
      </c>
      <c r="P16" s="111">
        <f t="shared" si="2"/>
        <v>600</v>
      </c>
      <c r="Q16" s="111">
        <v>0</v>
      </c>
      <c r="R16" s="111">
        <v>0</v>
      </c>
      <c r="S16" s="111">
        <v>0</v>
      </c>
      <c r="T16" s="153">
        <v>0</v>
      </c>
      <c r="U16" s="112">
        <f t="shared" si="3"/>
        <v>600</v>
      </c>
      <c r="V16" s="112">
        <f t="shared" si="5"/>
        <v>600</v>
      </c>
      <c r="W16" s="112"/>
      <c r="X16" s="112">
        <f t="shared" si="4"/>
        <v>0</v>
      </c>
      <c r="Y16" s="53"/>
    </row>
    <row r="17" spans="1:25" ht="45.65" customHeight="1" x14ac:dyDescent="0.55000000000000004">
      <c r="A17" s="105">
        <v>12</v>
      </c>
      <c r="B17" s="106" t="s">
        <v>223</v>
      </c>
      <c r="C17" s="120" t="s">
        <v>109</v>
      </c>
      <c r="D17" s="121"/>
      <c r="E17" s="121" t="s">
        <v>323</v>
      </c>
      <c r="F17" s="121" t="s">
        <v>337</v>
      </c>
      <c r="G17" s="120" t="s">
        <v>154</v>
      </c>
      <c r="H17" s="106">
        <v>300</v>
      </c>
      <c r="I17" s="110">
        <v>26</v>
      </c>
      <c r="J17" s="110">
        <v>0</v>
      </c>
      <c r="K17" s="111">
        <f t="shared" si="0"/>
        <v>300</v>
      </c>
      <c r="L17" s="111">
        <f t="shared" si="1"/>
        <v>0</v>
      </c>
      <c r="M17" s="111">
        <v>0</v>
      </c>
      <c r="N17" s="111">
        <v>0</v>
      </c>
      <c r="O17" s="111">
        <v>0</v>
      </c>
      <c r="P17" s="111">
        <f t="shared" si="2"/>
        <v>300</v>
      </c>
      <c r="Q17" s="111">
        <v>0</v>
      </c>
      <c r="R17" s="111">
        <v>0</v>
      </c>
      <c r="S17" s="111">
        <v>0</v>
      </c>
      <c r="T17" s="153">
        <v>0</v>
      </c>
      <c r="U17" s="112">
        <f t="shared" si="3"/>
        <v>300</v>
      </c>
      <c r="V17" s="112">
        <f t="shared" si="5"/>
        <v>300</v>
      </c>
      <c r="W17" s="112"/>
      <c r="X17" s="112">
        <f t="shared" si="4"/>
        <v>0</v>
      </c>
      <c r="Y17" s="53"/>
    </row>
    <row r="18" spans="1:25" ht="45.65" customHeight="1" x14ac:dyDescent="0.55000000000000004">
      <c r="A18" s="105">
        <v>13</v>
      </c>
      <c r="B18" s="106" t="s">
        <v>224</v>
      </c>
      <c r="C18" s="120" t="s">
        <v>204</v>
      </c>
      <c r="D18" s="121"/>
      <c r="E18" s="121" t="s">
        <v>323</v>
      </c>
      <c r="F18" s="121" t="s">
        <v>338</v>
      </c>
      <c r="G18" s="120"/>
      <c r="H18" s="106">
        <v>250</v>
      </c>
      <c r="I18" s="110">
        <v>26</v>
      </c>
      <c r="J18" s="110">
        <v>0</v>
      </c>
      <c r="K18" s="111">
        <f t="shared" si="0"/>
        <v>250</v>
      </c>
      <c r="L18" s="111">
        <f t="shared" si="1"/>
        <v>0</v>
      </c>
      <c r="M18" s="111">
        <v>0</v>
      </c>
      <c r="N18" s="111">
        <v>0</v>
      </c>
      <c r="O18" s="111">
        <v>0</v>
      </c>
      <c r="P18" s="111">
        <f t="shared" si="2"/>
        <v>250</v>
      </c>
      <c r="Q18" s="111">
        <v>0</v>
      </c>
      <c r="R18" s="111">
        <v>0</v>
      </c>
      <c r="S18" s="111">
        <v>0</v>
      </c>
      <c r="T18" s="153">
        <v>0</v>
      </c>
      <c r="U18" s="112">
        <f t="shared" si="3"/>
        <v>250</v>
      </c>
      <c r="V18" s="112">
        <f t="shared" si="5"/>
        <v>250</v>
      </c>
      <c r="W18" s="112"/>
      <c r="X18" s="112">
        <f t="shared" si="4"/>
        <v>0</v>
      </c>
      <c r="Y18" s="53"/>
    </row>
    <row r="19" spans="1:25" ht="45.65" customHeight="1" x14ac:dyDescent="0.55000000000000004">
      <c r="A19" s="105">
        <v>14</v>
      </c>
      <c r="B19" s="106" t="s">
        <v>268</v>
      </c>
      <c r="C19" s="120" t="s">
        <v>111</v>
      </c>
      <c r="D19" s="121"/>
      <c r="E19" s="121" t="s">
        <v>339</v>
      </c>
      <c r="F19" s="121" t="s">
        <v>340</v>
      </c>
      <c r="G19" s="120"/>
      <c r="H19" s="106">
        <v>100</v>
      </c>
      <c r="I19" s="110">
        <v>26</v>
      </c>
      <c r="J19" s="110">
        <v>0</v>
      </c>
      <c r="K19" s="111">
        <f t="shared" si="0"/>
        <v>100</v>
      </c>
      <c r="L19" s="111">
        <f t="shared" si="1"/>
        <v>0</v>
      </c>
      <c r="M19" s="111">
        <v>0</v>
      </c>
      <c r="N19" s="111">
        <v>0</v>
      </c>
      <c r="O19" s="111">
        <v>0</v>
      </c>
      <c r="P19" s="111">
        <f t="shared" si="2"/>
        <v>100</v>
      </c>
      <c r="Q19" s="111">
        <v>0</v>
      </c>
      <c r="R19" s="111">
        <v>0</v>
      </c>
      <c r="S19" s="111">
        <v>0</v>
      </c>
      <c r="T19" s="153">
        <v>0</v>
      </c>
      <c r="U19" s="112">
        <f t="shared" si="3"/>
        <v>100</v>
      </c>
      <c r="V19" s="112">
        <v>0</v>
      </c>
      <c r="W19" s="112">
        <f>U19</f>
        <v>100</v>
      </c>
      <c r="X19" s="112">
        <f>W19-U19</f>
        <v>0</v>
      </c>
      <c r="Y19" s="53"/>
    </row>
    <row r="20" spans="1:25" ht="45.65" customHeight="1" x14ac:dyDescent="0.55000000000000004">
      <c r="A20" s="105">
        <v>15</v>
      </c>
      <c r="B20" s="106" t="s">
        <v>269</v>
      </c>
      <c r="C20" s="120" t="s">
        <v>112</v>
      </c>
      <c r="D20" s="121"/>
      <c r="E20" s="121" t="s">
        <v>341</v>
      </c>
      <c r="F20" s="121" t="s">
        <v>342</v>
      </c>
      <c r="G20" s="120" t="s">
        <v>155</v>
      </c>
      <c r="H20" s="106">
        <v>450</v>
      </c>
      <c r="I20" s="110">
        <v>26</v>
      </c>
      <c r="J20" s="110">
        <v>0</v>
      </c>
      <c r="K20" s="111">
        <f t="shared" si="0"/>
        <v>450</v>
      </c>
      <c r="L20" s="111">
        <f t="shared" si="1"/>
        <v>0</v>
      </c>
      <c r="M20" s="111">
        <v>0</v>
      </c>
      <c r="N20" s="111">
        <v>0</v>
      </c>
      <c r="O20" s="111">
        <v>0</v>
      </c>
      <c r="P20" s="111">
        <f t="shared" si="2"/>
        <v>450</v>
      </c>
      <c r="Q20" s="111">
        <v>0</v>
      </c>
      <c r="R20" s="111">
        <v>0</v>
      </c>
      <c r="S20" s="111">
        <v>50</v>
      </c>
      <c r="T20" s="153">
        <v>0</v>
      </c>
      <c r="U20" s="112">
        <f t="shared" si="3"/>
        <v>400</v>
      </c>
      <c r="V20" s="112">
        <f t="shared" si="5"/>
        <v>400</v>
      </c>
      <c r="W20" s="112"/>
      <c r="X20" s="112">
        <f t="shared" si="4"/>
        <v>0</v>
      </c>
      <c r="Y20" s="53"/>
    </row>
    <row r="21" spans="1:25" ht="45.65" customHeight="1" x14ac:dyDescent="0.55000000000000004">
      <c r="A21" s="105">
        <v>16</v>
      </c>
      <c r="B21" s="106" t="s">
        <v>270</v>
      </c>
      <c r="C21" s="120" t="s">
        <v>114</v>
      </c>
      <c r="D21" s="121"/>
      <c r="E21" s="121" t="s">
        <v>158</v>
      </c>
      <c r="F21" s="121" t="s">
        <v>343</v>
      </c>
      <c r="G21" s="120" t="s">
        <v>157</v>
      </c>
      <c r="H21" s="106">
        <v>50</v>
      </c>
      <c r="I21" s="184">
        <v>26</v>
      </c>
      <c r="J21" s="110">
        <v>0</v>
      </c>
      <c r="K21" s="111">
        <f t="shared" si="0"/>
        <v>50</v>
      </c>
      <c r="L21" s="111">
        <f t="shared" si="1"/>
        <v>0</v>
      </c>
      <c r="M21" s="153">
        <v>0</v>
      </c>
      <c r="N21" s="153">
        <v>0</v>
      </c>
      <c r="O21" s="153">
        <v>0</v>
      </c>
      <c r="P21" s="111">
        <f t="shared" si="2"/>
        <v>50</v>
      </c>
      <c r="Q21" s="153">
        <v>0</v>
      </c>
      <c r="R21" s="111">
        <v>0</v>
      </c>
      <c r="S21" s="153">
        <v>0</v>
      </c>
      <c r="T21" s="153">
        <v>0</v>
      </c>
      <c r="U21" s="112">
        <f t="shared" si="3"/>
        <v>50</v>
      </c>
      <c r="V21" s="112">
        <f t="shared" si="5"/>
        <v>50</v>
      </c>
      <c r="W21" s="112"/>
      <c r="X21" s="112">
        <f t="shared" si="4"/>
        <v>0</v>
      </c>
      <c r="Y21" s="187"/>
    </row>
    <row r="22" spans="1:25" ht="45.65" customHeight="1" x14ac:dyDescent="0.55000000000000004">
      <c r="A22" s="105">
        <v>17</v>
      </c>
      <c r="B22" s="106" t="s">
        <v>272</v>
      </c>
      <c r="C22" s="120" t="s">
        <v>115</v>
      </c>
      <c r="D22" s="121"/>
      <c r="E22" s="121" t="s">
        <v>158</v>
      </c>
      <c r="F22" s="121" t="s">
        <v>343</v>
      </c>
      <c r="G22" s="120" t="s">
        <v>158</v>
      </c>
      <c r="H22" s="106">
        <v>150</v>
      </c>
      <c r="I22" s="110">
        <v>26</v>
      </c>
      <c r="J22" s="110">
        <v>0</v>
      </c>
      <c r="K22" s="111">
        <f t="shared" si="0"/>
        <v>150</v>
      </c>
      <c r="L22" s="111">
        <f t="shared" si="1"/>
        <v>0</v>
      </c>
      <c r="M22" s="111">
        <v>0</v>
      </c>
      <c r="N22" s="111">
        <v>0</v>
      </c>
      <c r="O22" s="111">
        <v>0</v>
      </c>
      <c r="P22" s="111">
        <f t="shared" si="2"/>
        <v>150</v>
      </c>
      <c r="Q22" s="111">
        <v>0</v>
      </c>
      <c r="R22" s="111">
        <v>8.65</v>
      </c>
      <c r="S22" s="111">
        <v>0</v>
      </c>
      <c r="T22" s="153">
        <v>0</v>
      </c>
      <c r="U22" s="112">
        <f t="shared" si="3"/>
        <v>141.35</v>
      </c>
      <c r="V22" s="112">
        <f t="shared" si="5"/>
        <v>141.35</v>
      </c>
      <c r="W22" s="112"/>
      <c r="X22" s="112">
        <f t="shared" si="4"/>
        <v>0</v>
      </c>
      <c r="Y22" s="53"/>
    </row>
    <row r="23" spans="1:25" ht="45.65" customHeight="1" x14ac:dyDescent="0.55000000000000004">
      <c r="A23" s="105">
        <v>18</v>
      </c>
      <c r="B23" s="106" t="s">
        <v>226</v>
      </c>
      <c r="C23" s="120" t="s">
        <v>206</v>
      </c>
      <c r="D23" s="121"/>
      <c r="E23" s="121" t="s">
        <v>344</v>
      </c>
      <c r="F23" s="121" t="s">
        <v>335</v>
      </c>
      <c r="G23" s="120"/>
      <c r="H23" s="106">
        <v>170</v>
      </c>
      <c r="I23" s="110">
        <v>26</v>
      </c>
      <c r="J23" s="110">
        <v>0</v>
      </c>
      <c r="K23" s="111">
        <f t="shared" si="0"/>
        <v>170</v>
      </c>
      <c r="L23" s="111">
        <f t="shared" si="1"/>
        <v>0</v>
      </c>
      <c r="M23" s="111">
        <v>0</v>
      </c>
      <c r="N23" s="111">
        <v>0</v>
      </c>
      <c r="O23" s="111">
        <v>0</v>
      </c>
      <c r="P23" s="111">
        <f t="shared" si="2"/>
        <v>170</v>
      </c>
      <c r="Q23" s="111">
        <v>0</v>
      </c>
      <c r="R23" s="111">
        <v>0</v>
      </c>
      <c r="S23" s="111">
        <v>0</v>
      </c>
      <c r="T23" s="153">
        <v>0</v>
      </c>
      <c r="U23" s="112">
        <f t="shared" si="3"/>
        <v>170</v>
      </c>
      <c r="V23" s="112">
        <f t="shared" si="5"/>
        <v>170</v>
      </c>
      <c r="W23" s="112"/>
      <c r="X23" s="112">
        <f t="shared" si="4"/>
        <v>0</v>
      </c>
      <c r="Y23" s="53"/>
    </row>
    <row r="24" spans="1:25" ht="45.65" customHeight="1" x14ac:dyDescent="0.55000000000000004">
      <c r="A24" s="105">
        <v>19</v>
      </c>
      <c r="B24" s="106" t="s">
        <v>227</v>
      </c>
      <c r="C24" s="120" t="s">
        <v>207</v>
      </c>
      <c r="D24" s="121"/>
      <c r="E24" s="121" t="s">
        <v>344</v>
      </c>
      <c r="F24" s="121" t="s">
        <v>335</v>
      </c>
      <c r="G24" s="120"/>
      <c r="H24" s="106">
        <v>150</v>
      </c>
      <c r="I24" s="110">
        <v>26</v>
      </c>
      <c r="J24" s="110">
        <v>0</v>
      </c>
      <c r="K24" s="111">
        <f t="shared" si="0"/>
        <v>150</v>
      </c>
      <c r="L24" s="111">
        <f t="shared" si="1"/>
        <v>0</v>
      </c>
      <c r="M24" s="111">
        <v>0</v>
      </c>
      <c r="N24" s="111">
        <v>0</v>
      </c>
      <c r="O24" s="111">
        <v>0</v>
      </c>
      <c r="P24" s="111">
        <f t="shared" si="2"/>
        <v>150</v>
      </c>
      <c r="Q24" s="111">
        <v>0</v>
      </c>
      <c r="R24" s="111">
        <v>0</v>
      </c>
      <c r="S24" s="111">
        <v>0</v>
      </c>
      <c r="T24" s="153">
        <v>0</v>
      </c>
      <c r="U24" s="112">
        <f t="shared" si="3"/>
        <v>150</v>
      </c>
      <c r="V24" s="112">
        <f t="shared" si="5"/>
        <v>150</v>
      </c>
      <c r="W24" s="112"/>
      <c r="X24" s="112">
        <f t="shared" si="4"/>
        <v>0</v>
      </c>
      <c r="Y24" s="53"/>
    </row>
    <row r="25" spans="1:25" ht="45.65" customHeight="1" x14ac:dyDescent="0.55000000000000004">
      <c r="A25" s="105">
        <v>20</v>
      </c>
      <c r="B25" s="106" t="s">
        <v>306</v>
      </c>
      <c r="C25" s="120" t="s">
        <v>300</v>
      </c>
      <c r="D25" s="121"/>
      <c r="E25" s="121"/>
      <c r="F25" s="121"/>
      <c r="G25" s="120"/>
      <c r="H25" s="106">
        <v>100</v>
      </c>
      <c r="I25" s="110">
        <v>26</v>
      </c>
      <c r="J25" s="110">
        <v>0</v>
      </c>
      <c r="K25" s="111">
        <f t="shared" si="0"/>
        <v>100</v>
      </c>
      <c r="L25" s="111">
        <f t="shared" si="1"/>
        <v>0</v>
      </c>
      <c r="M25" s="111">
        <v>0</v>
      </c>
      <c r="N25" s="111">
        <v>0</v>
      </c>
      <c r="O25" s="111">
        <v>0</v>
      </c>
      <c r="P25" s="111">
        <f t="shared" si="2"/>
        <v>100</v>
      </c>
      <c r="Q25" s="111">
        <v>0</v>
      </c>
      <c r="R25" s="111">
        <v>0</v>
      </c>
      <c r="S25" s="111">
        <v>0</v>
      </c>
      <c r="T25" s="153">
        <v>0</v>
      </c>
      <c r="U25" s="112">
        <f t="shared" si="3"/>
        <v>100</v>
      </c>
      <c r="V25" s="112">
        <v>0</v>
      </c>
      <c r="W25" s="112">
        <f>U25</f>
        <v>100</v>
      </c>
      <c r="X25" s="112">
        <f>W25-U25</f>
        <v>0</v>
      </c>
      <c r="Y25" s="53"/>
    </row>
    <row r="26" spans="1:25" ht="45.65" customHeight="1" x14ac:dyDescent="0.55000000000000004">
      <c r="A26" s="105">
        <v>21</v>
      </c>
      <c r="B26" s="106" t="s">
        <v>274</v>
      </c>
      <c r="C26" s="120" t="s">
        <v>119</v>
      </c>
      <c r="D26" s="121"/>
      <c r="E26" s="121" t="s">
        <v>334</v>
      </c>
      <c r="F26" s="121" t="s">
        <v>335</v>
      </c>
      <c r="G26" s="120" t="s">
        <v>93</v>
      </c>
      <c r="H26" s="106">
        <v>80</v>
      </c>
      <c r="I26" s="110">
        <v>26</v>
      </c>
      <c r="J26" s="110">
        <v>0</v>
      </c>
      <c r="K26" s="111">
        <f t="shared" si="0"/>
        <v>80</v>
      </c>
      <c r="L26" s="111">
        <f t="shared" si="1"/>
        <v>0</v>
      </c>
      <c r="M26" s="111">
        <v>0</v>
      </c>
      <c r="N26" s="111">
        <v>0</v>
      </c>
      <c r="O26" s="111">
        <v>0</v>
      </c>
      <c r="P26" s="111">
        <f t="shared" si="2"/>
        <v>80</v>
      </c>
      <c r="Q26" s="111">
        <v>0</v>
      </c>
      <c r="R26" s="111">
        <v>0</v>
      </c>
      <c r="S26" s="111">
        <v>0</v>
      </c>
      <c r="T26" s="153">
        <v>0</v>
      </c>
      <c r="U26" s="112">
        <f t="shared" si="3"/>
        <v>80</v>
      </c>
      <c r="V26" s="112">
        <f t="shared" si="5"/>
        <v>80</v>
      </c>
      <c r="W26" s="112"/>
      <c r="X26" s="112">
        <f t="shared" si="4"/>
        <v>0</v>
      </c>
      <c r="Y26" s="53"/>
    </row>
    <row r="27" spans="1:25" ht="45.65" customHeight="1" x14ac:dyDescent="0.55000000000000004">
      <c r="A27" s="105">
        <v>22</v>
      </c>
      <c r="B27" s="106" t="s">
        <v>275</v>
      </c>
      <c r="C27" s="120" t="s">
        <v>120</v>
      </c>
      <c r="D27" s="121"/>
      <c r="E27" s="121" t="s">
        <v>325</v>
      </c>
      <c r="F27" s="121" t="s">
        <v>333</v>
      </c>
      <c r="G27" s="120"/>
      <c r="H27" s="106">
        <v>150</v>
      </c>
      <c r="I27" s="110">
        <v>26</v>
      </c>
      <c r="J27" s="110">
        <v>0</v>
      </c>
      <c r="K27" s="111">
        <f t="shared" si="0"/>
        <v>150</v>
      </c>
      <c r="L27" s="111">
        <f t="shared" si="1"/>
        <v>0</v>
      </c>
      <c r="M27" s="111">
        <v>0</v>
      </c>
      <c r="N27" s="111">
        <v>0</v>
      </c>
      <c r="O27" s="111">
        <v>0</v>
      </c>
      <c r="P27" s="111">
        <f t="shared" si="2"/>
        <v>150</v>
      </c>
      <c r="Q27" s="111">
        <v>0</v>
      </c>
      <c r="R27" s="111">
        <v>0</v>
      </c>
      <c r="S27" s="111">
        <v>0</v>
      </c>
      <c r="T27" s="153">
        <v>0</v>
      </c>
      <c r="U27" s="112">
        <f t="shared" si="3"/>
        <v>150</v>
      </c>
      <c r="V27" s="112">
        <f t="shared" si="5"/>
        <v>150</v>
      </c>
      <c r="W27" s="112"/>
      <c r="X27" s="112">
        <f t="shared" si="4"/>
        <v>0</v>
      </c>
      <c r="Y27" s="53"/>
    </row>
    <row r="28" spans="1:25" ht="45.65" customHeight="1" x14ac:dyDescent="0.55000000000000004">
      <c r="A28" s="105">
        <v>23</v>
      </c>
      <c r="B28" s="106" t="s">
        <v>228</v>
      </c>
      <c r="C28" s="120" t="s">
        <v>208</v>
      </c>
      <c r="D28" s="121"/>
      <c r="E28" s="121" t="s">
        <v>344</v>
      </c>
      <c r="F28" s="121" t="s">
        <v>335</v>
      </c>
      <c r="G28" s="120"/>
      <c r="H28" s="106">
        <v>150</v>
      </c>
      <c r="I28" s="110">
        <v>26</v>
      </c>
      <c r="J28" s="110">
        <v>0</v>
      </c>
      <c r="K28" s="111">
        <f t="shared" si="0"/>
        <v>150</v>
      </c>
      <c r="L28" s="111">
        <f t="shared" si="1"/>
        <v>0</v>
      </c>
      <c r="M28" s="111">
        <v>0</v>
      </c>
      <c r="N28" s="111">
        <v>0</v>
      </c>
      <c r="O28" s="111">
        <v>0</v>
      </c>
      <c r="P28" s="111">
        <f t="shared" si="2"/>
        <v>150</v>
      </c>
      <c r="Q28" s="111">
        <v>0</v>
      </c>
      <c r="R28" s="111">
        <v>0</v>
      </c>
      <c r="S28" s="111">
        <v>0</v>
      </c>
      <c r="T28" s="153">
        <v>0</v>
      </c>
      <c r="U28" s="112">
        <f t="shared" si="3"/>
        <v>150</v>
      </c>
      <c r="V28" s="112">
        <f t="shared" si="5"/>
        <v>150</v>
      </c>
      <c r="W28" s="112"/>
      <c r="X28" s="112">
        <f t="shared" si="4"/>
        <v>0</v>
      </c>
      <c r="Y28" s="53"/>
    </row>
    <row r="29" spans="1:25" ht="45.65" customHeight="1" x14ac:dyDescent="0.55000000000000004">
      <c r="A29" s="105">
        <v>24</v>
      </c>
      <c r="B29" s="106" t="s">
        <v>276</v>
      </c>
      <c r="C29" s="120" t="s">
        <v>122</v>
      </c>
      <c r="D29" s="121"/>
      <c r="E29" s="121" t="s">
        <v>323</v>
      </c>
      <c r="F29" s="121" t="s">
        <v>345</v>
      </c>
      <c r="G29" s="120"/>
      <c r="H29" s="106">
        <v>200</v>
      </c>
      <c r="I29" s="110">
        <v>26</v>
      </c>
      <c r="J29" s="110">
        <v>0</v>
      </c>
      <c r="K29" s="111">
        <f t="shared" si="0"/>
        <v>200</v>
      </c>
      <c r="L29" s="111">
        <f t="shared" si="1"/>
        <v>0</v>
      </c>
      <c r="M29" s="111">
        <v>0</v>
      </c>
      <c r="N29" s="111">
        <v>0</v>
      </c>
      <c r="O29" s="111">
        <v>0</v>
      </c>
      <c r="P29" s="111">
        <f t="shared" si="2"/>
        <v>200</v>
      </c>
      <c r="Q29" s="111">
        <v>0</v>
      </c>
      <c r="R29" s="111">
        <v>0</v>
      </c>
      <c r="S29" s="111">
        <v>0</v>
      </c>
      <c r="T29" s="153">
        <v>0</v>
      </c>
      <c r="U29" s="112">
        <f t="shared" si="3"/>
        <v>200</v>
      </c>
      <c r="V29" s="112">
        <f t="shared" si="5"/>
        <v>200</v>
      </c>
      <c r="W29" s="112"/>
      <c r="X29" s="112">
        <f t="shared" si="4"/>
        <v>0</v>
      </c>
      <c r="Y29" s="53"/>
    </row>
    <row r="30" spans="1:25" ht="45.65" customHeight="1" x14ac:dyDescent="0.55000000000000004">
      <c r="A30" s="105">
        <v>25</v>
      </c>
      <c r="B30" s="106" t="s">
        <v>277</v>
      </c>
      <c r="C30" s="120" t="s">
        <v>123</v>
      </c>
      <c r="D30" s="121"/>
      <c r="E30" s="121" t="s">
        <v>323</v>
      </c>
      <c r="F30" s="121" t="s">
        <v>345</v>
      </c>
      <c r="G30" s="120"/>
      <c r="H30" s="106">
        <v>250</v>
      </c>
      <c r="I30" s="110">
        <v>26</v>
      </c>
      <c r="J30" s="110">
        <v>0</v>
      </c>
      <c r="K30" s="111">
        <f t="shared" si="0"/>
        <v>250</v>
      </c>
      <c r="L30" s="111">
        <f t="shared" si="1"/>
        <v>0</v>
      </c>
      <c r="M30" s="111">
        <v>0</v>
      </c>
      <c r="N30" s="111">
        <v>0</v>
      </c>
      <c r="O30" s="111">
        <v>0</v>
      </c>
      <c r="P30" s="111">
        <f t="shared" si="2"/>
        <v>250</v>
      </c>
      <c r="Q30" s="111">
        <v>0</v>
      </c>
      <c r="R30" s="111">
        <v>0</v>
      </c>
      <c r="S30" s="111">
        <v>0</v>
      </c>
      <c r="T30" s="153">
        <v>0</v>
      </c>
      <c r="U30" s="112">
        <f t="shared" si="3"/>
        <v>250</v>
      </c>
      <c r="V30" s="112">
        <f t="shared" si="5"/>
        <v>250</v>
      </c>
      <c r="W30" s="112"/>
      <c r="X30" s="112">
        <f t="shared" si="4"/>
        <v>0</v>
      </c>
      <c r="Y30" s="53"/>
    </row>
    <row r="31" spans="1:25" ht="45.65" customHeight="1" x14ac:dyDescent="0.55000000000000004">
      <c r="A31" s="105">
        <v>26</v>
      </c>
      <c r="B31" s="106" t="s">
        <v>230</v>
      </c>
      <c r="C31" s="120" t="s">
        <v>125</v>
      </c>
      <c r="D31" s="121"/>
      <c r="E31" s="121" t="s">
        <v>346</v>
      </c>
      <c r="F31" s="121" t="s">
        <v>332</v>
      </c>
      <c r="G31" s="120" t="s">
        <v>160</v>
      </c>
      <c r="H31" s="106">
        <v>270</v>
      </c>
      <c r="I31" s="110">
        <v>26</v>
      </c>
      <c r="J31" s="110">
        <v>0</v>
      </c>
      <c r="K31" s="111">
        <f t="shared" si="0"/>
        <v>270</v>
      </c>
      <c r="L31" s="111">
        <f t="shared" si="1"/>
        <v>0</v>
      </c>
      <c r="M31" s="111">
        <v>0</v>
      </c>
      <c r="N31" s="111">
        <v>0</v>
      </c>
      <c r="O31" s="111">
        <v>0</v>
      </c>
      <c r="P31" s="111">
        <f t="shared" si="2"/>
        <v>270</v>
      </c>
      <c r="Q31" s="111">
        <v>0</v>
      </c>
      <c r="R31" s="111">
        <v>124.62</v>
      </c>
      <c r="S31" s="111">
        <v>0</v>
      </c>
      <c r="T31" s="153">
        <v>0</v>
      </c>
      <c r="U31" s="112">
        <f t="shared" si="3"/>
        <v>145.38</v>
      </c>
      <c r="V31" s="112">
        <f t="shared" si="5"/>
        <v>145.38</v>
      </c>
      <c r="W31" s="112"/>
      <c r="X31" s="112">
        <f t="shared" si="4"/>
        <v>0</v>
      </c>
      <c r="Y31" s="53"/>
    </row>
    <row r="32" spans="1:25" ht="45.65" customHeight="1" x14ac:dyDescent="0.55000000000000004">
      <c r="A32" s="105">
        <v>27</v>
      </c>
      <c r="B32" s="106" t="s">
        <v>278</v>
      </c>
      <c r="C32" s="120" t="s">
        <v>247</v>
      </c>
      <c r="D32" s="121"/>
      <c r="E32" s="121" t="s">
        <v>341</v>
      </c>
      <c r="F32" s="121" t="s">
        <v>337</v>
      </c>
      <c r="G32" s="120"/>
      <c r="H32" s="106">
        <v>280</v>
      </c>
      <c r="I32" s="110">
        <v>26</v>
      </c>
      <c r="J32" s="110">
        <v>0</v>
      </c>
      <c r="K32" s="111">
        <f t="shared" si="0"/>
        <v>280</v>
      </c>
      <c r="L32" s="111">
        <f t="shared" si="1"/>
        <v>0</v>
      </c>
      <c r="M32" s="111">
        <v>30</v>
      </c>
      <c r="N32" s="111">
        <v>0</v>
      </c>
      <c r="O32" s="111">
        <v>0</v>
      </c>
      <c r="P32" s="111">
        <f t="shared" si="2"/>
        <v>310</v>
      </c>
      <c r="Q32" s="111">
        <v>0</v>
      </c>
      <c r="R32" s="111">
        <v>0</v>
      </c>
      <c r="S32" s="111">
        <v>0</v>
      </c>
      <c r="T32" s="153">
        <v>0</v>
      </c>
      <c r="U32" s="112">
        <f t="shared" si="3"/>
        <v>310</v>
      </c>
      <c r="V32" s="112">
        <f t="shared" si="5"/>
        <v>310</v>
      </c>
      <c r="W32" s="112"/>
      <c r="X32" s="112">
        <f t="shared" si="4"/>
        <v>0</v>
      </c>
      <c r="Y32" s="53"/>
    </row>
    <row r="33" spans="1:25" ht="45.65" customHeight="1" x14ac:dyDescent="0.55000000000000004">
      <c r="A33" s="105">
        <v>28</v>
      </c>
      <c r="B33" s="106" t="s">
        <v>231</v>
      </c>
      <c r="C33" s="120" t="s">
        <v>211</v>
      </c>
      <c r="D33" s="121"/>
      <c r="E33" s="121" t="s">
        <v>331</v>
      </c>
      <c r="F33" s="121" t="s">
        <v>347</v>
      </c>
      <c r="G33" s="120"/>
      <c r="H33" s="106">
        <v>400</v>
      </c>
      <c r="I33" s="110">
        <v>26</v>
      </c>
      <c r="J33" s="110">
        <v>0</v>
      </c>
      <c r="K33" s="111">
        <f t="shared" si="0"/>
        <v>400</v>
      </c>
      <c r="L33" s="111">
        <f t="shared" si="1"/>
        <v>0</v>
      </c>
      <c r="M33" s="111">
        <v>0</v>
      </c>
      <c r="N33" s="111">
        <v>0</v>
      </c>
      <c r="O33" s="111">
        <v>0</v>
      </c>
      <c r="P33" s="111">
        <f t="shared" si="2"/>
        <v>400</v>
      </c>
      <c r="Q33" s="111">
        <v>0</v>
      </c>
      <c r="R33" s="111">
        <v>0</v>
      </c>
      <c r="S33" s="111">
        <v>0</v>
      </c>
      <c r="T33" s="153">
        <v>0</v>
      </c>
      <c r="U33" s="112">
        <f t="shared" si="3"/>
        <v>400</v>
      </c>
      <c r="V33" s="112">
        <v>800</v>
      </c>
      <c r="W33" s="112"/>
      <c r="X33" s="112">
        <f t="shared" si="4"/>
        <v>400</v>
      </c>
      <c r="Y33" s="53" t="s">
        <v>176</v>
      </c>
    </row>
    <row r="34" spans="1:25" ht="45.65" customHeight="1" x14ac:dyDescent="0.55000000000000004">
      <c r="A34" s="105">
        <v>29</v>
      </c>
      <c r="B34" s="106" t="s">
        <v>232</v>
      </c>
      <c r="C34" s="120" t="s">
        <v>248</v>
      </c>
      <c r="D34" s="121"/>
      <c r="E34" s="121" t="s">
        <v>341</v>
      </c>
      <c r="F34" s="121" t="s">
        <v>348</v>
      </c>
      <c r="G34" s="120" t="s">
        <v>162</v>
      </c>
      <c r="H34" s="106">
        <v>450</v>
      </c>
      <c r="I34" s="184">
        <v>26</v>
      </c>
      <c r="J34" s="110">
        <v>0</v>
      </c>
      <c r="K34" s="111">
        <f t="shared" si="0"/>
        <v>450</v>
      </c>
      <c r="L34" s="111">
        <f t="shared" si="1"/>
        <v>0</v>
      </c>
      <c r="M34" s="153">
        <v>0</v>
      </c>
      <c r="N34" s="153">
        <v>0</v>
      </c>
      <c r="O34" s="153">
        <v>0</v>
      </c>
      <c r="P34" s="111">
        <f t="shared" si="2"/>
        <v>450</v>
      </c>
      <c r="Q34" s="153">
        <v>0</v>
      </c>
      <c r="R34" s="111">
        <v>0</v>
      </c>
      <c r="S34" s="153">
        <v>0</v>
      </c>
      <c r="T34" s="153">
        <v>0</v>
      </c>
      <c r="U34" s="112">
        <f t="shared" si="3"/>
        <v>450</v>
      </c>
      <c r="V34" s="112">
        <v>600</v>
      </c>
      <c r="W34" s="112"/>
      <c r="X34" s="112">
        <f t="shared" si="4"/>
        <v>150</v>
      </c>
      <c r="Y34" s="53" t="s">
        <v>176</v>
      </c>
    </row>
    <row r="35" spans="1:25" ht="45.65" customHeight="1" x14ac:dyDescent="0.55000000000000004">
      <c r="A35" s="105">
        <v>30</v>
      </c>
      <c r="B35" s="106" t="s">
        <v>233</v>
      </c>
      <c r="C35" s="120" t="s">
        <v>130</v>
      </c>
      <c r="D35" s="121"/>
      <c r="E35" s="121" t="s">
        <v>341</v>
      </c>
      <c r="F35" s="121" t="s">
        <v>348</v>
      </c>
      <c r="G35" s="120" t="s">
        <v>172</v>
      </c>
      <c r="H35" s="106">
        <v>550</v>
      </c>
      <c r="I35" s="110">
        <v>26</v>
      </c>
      <c r="J35" s="110">
        <v>0</v>
      </c>
      <c r="K35" s="111">
        <f t="shared" si="0"/>
        <v>550</v>
      </c>
      <c r="L35" s="111">
        <f t="shared" si="1"/>
        <v>0</v>
      </c>
      <c r="M35" s="111">
        <v>0</v>
      </c>
      <c r="N35" s="111">
        <v>0</v>
      </c>
      <c r="O35" s="111">
        <v>0</v>
      </c>
      <c r="P35" s="111">
        <f t="shared" si="2"/>
        <v>550</v>
      </c>
      <c r="Q35" s="111">
        <v>0</v>
      </c>
      <c r="R35" s="111">
        <v>0</v>
      </c>
      <c r="S35" s="111">
        <v>0</v>
      </c>
      <c r="T35" s="153">
        <v>0</v>
      </c>
      <c r="U35" s="112">
        <f t="shared" si="3"/>
        <v>550</v>
      </c>
      <c r="V35" s="112">
        <f t="shared" ref="V35:V53" si="6">U35</f>
        <v>550</v>
      </c>
      <c r="W35" s="112"/>
      <c r="X35" s="112">
        <f t="shared" si="4"/>
        <v>0</v>
      </c>
      <c r="Y35" s="53"/>
    </row>
    <row r="36" spans="1:25" ht="45.65" customHeight="1" x14ac:dyDescent="0.55000000000000004">
      <c r="A36" s="105">
        <v>31</v>
      </c>
      <c r="B36" s="106" t="s">
        <v>235</v>
      </c>
      <c r="C36" s="120" t="s">
        <v>132</v>
      </c>
      <c r="D36" s="121"/>
      <c r="E36" s="121" t="s">
        <v>341</v>
      </c>
      <c r="F36" s="121" t="s">
        <v>348</v>
      </c>
      <c r="G36" s="120" t="s">
        <v>163</v>
      </c>
      <c r="H36" s="106">
        <v>450</v>
      </c>
      <c r="I36" s="110">
        <v>26</v>
      </c>
      <c r="J36" s="110">
        <v>0</v>
      </c>
      <c r="K36" s="111">
        <f t="shared" si="0"/>
        <v>450</v>
      </c>
      <c r="L36" s="111">
        <f t="shared" si="1"/>
        <v>0</v>
      </c>
      <c r="M36" s="111">
        <v>0</v>
      </c>
      <c r="N36" s="111">
        <v>0</v>
      </c>
      <c r="O36" s="111">
        <v>0</v>
      </c>
      <c r="P36" s="111">
        <f t="shared" si="2"/>
        <v>450</v>
      </c>
      <c r="Q36" s="111">
        <v>0</v>
      </c>
      <c r="R36" s="111">
        <v>0</v>
      </c>
      <c r="S36" s="111">
        <v>0</v>
      </c>
      <c r="T36" s="153">
        <v>0</v>
      </c>
      <c r="U36" s="112">
        <f t="shared" si="3"/>
        <v>450</v>
      </c>
      <c r="V36" s="112">
        <f t="shared" si="6"/>
        <v>450</v>
      </c>
      <c r="W36" s="112"/>
      <c r="X36" s="112">
        <f t="shared" si="4"/>
        <v>0</v>
      </c>
      <c r="Y36" s="53"/>
    </row>
    <row r="37" spans="1:25" ht="45.65" customHeight="1" x14ac:dyDescent="0.55000000000000004">
      <c r="A37" s="105">
        <v>32</v>
      </c>
      <c r="B37" s="106" t="s">
        <v>236</v>
      </c>
      <c r="C37" s="120" t="s">
        <v>133</v>
      </c>
      <c r="D37" s="121"/>
      <c r="E37" s="121" t="s">
        <v>341</v>
      </c>
      <c r="F37" s="121" t="s">
        <v>337</v>
      </c>
      <c r="G37" s="120" t="s">
        <v>164</v>
      </c>
      <c r="H37" s="106">
        <v>260</v>
      </c>
      <c r="I37" s="110">
        <v>26</v>
      </c>
      <c r="J37" s="110">
        <v>0</v>
      </c>
      <c r="K37" s="111">
        <f t="shared" si="0"/>
        <v>260</v>
      </c>
      <c r="L37" s="111">
        <f t="shared" si="1"/>
        <v>0</v>
      </c>
      <c r="M37" s="111">
        <v>0</v>
      </c>
      <c r="N37" s="111">
        <v>0</v>
      </c>
      <c r="O37" s="111">
        <v>0</v>
      </c>
      <c r="P37" s="111">
        <f t="shared" si="2"/>
        <v>260</v>
      </c>
      <c r="Q37" s="111">
        <v>0</v>
      </c>
      <c r="R37" s="111">
        <v>0</v>
      </c>
      <c r="S37" s="111">
        <v>0</v>
      </c>
      <c r="T37" s="153">
        <v>0</v>
      </c>
      <c r="U37" s="112">
        <f t="shared" si="3"/>
        <v>260</v>
      </c>
      <c r="V37" s="112">
        <f t="shared" si="6"/>
        <v>260</v>
      </c>
      <c r="W37" s="112"/>
      <c r="X37" s="112">
        <f t="shared" si="4"/>
        <v>0</v>
      </c>
      <c r="Y37" s="53"/>
    </row>
    <row r="38" spans="1:25" ht="45.65" customHeight="1" x14ac:dyDescent="0.55000000000000004">
      <c r="A38" s="105">
        <v>33</v>
      </c>
      <c r="B38" s="113" t="s">
        <v>267</v>
      </c>
      <c r="C38" s="122" t="s">
        <v>104</v>
      </c>
      <c r="D38" s="121"/>
      <c r="E38" s="121" t="s">
        <v>325</v>
      </c>
      <c r="F38" s="121" t="s">
        <v>332</v>
      </c>
      <c r="G38" s="122" t="s">
        <v>89</v>
      </c>
      <c r="H38" s="113">
        <v>160</v>
      </c>
      <c r="I38" s="184">
        <v>26</v>
      </c>
      <c r="J38" s="110">
        <v>0</v>
      </c>
      <c r="K38" s="111">
        <f t="shared" si="0"/>
        <v>160</v>
      </c>
      <c r="L38" s="111">
        <f t="shared" si="1"/>
        <v>0</v>
      </c>
      <c r="M38" s="153">
        <v>0</v>
      </c>
      <c r="N38" s="153">
        <v>0</v>
      </c>
      <c r="O38" s="153">
        <v>0</v>
      </c>
      <c r="P38" s="111">
        <f t="shared" si="2"/>
        <v>160</v>
      </c>
      <c r="Q38" s="153">
        <v>0</v>
      </c>
      <c r="R38" s="111">
        <v>0</v>
      </c>
      <c r="S38" s="153">
        <v>0</v>
      </c>
      <c r="T38" s="153">
        <v>0</v>
      </c>
      <c r="U38" s="112">
        <f t="shared" si="3"/>
        <v>160</v>
      </c>
      <c r="V38" s="112">
        <f t="shared" si="6"/>
        <v>160</v>
      </c>
      <c r="W38" s="112"/>
      <c r="X38" s="112">
        <f t="shared" si="4"/>
        <v>0</v>
      </c>
      <c r="Y38" s="53"/>
    </row>
    <row r="39" spans="1:25" s="186" customFormat="1" ht="45.65" customHeight="1" x14ac:dyDescent="0.55000000000000004">
      <c r="A39" s="105">
        <v>34</v>
      </c>
      <c r="B39" s="106" t="s">
        <v>284</v>
      </c>
      <c r="C39" s="120" t="s">
        <v>137</v>
      </c>
      <c r="D39" s="121"/>
      <c r="E39" s="121"/>
      <c r="F39" s="121"/>
      <c r="G39" s="120" t="s">
        <v>165</v>
      </c>
      <c r="H39" s="106">
        <v>240</v>
      </c>
      <c r="I39" s="110">
        <v>26</v>
      </c>
      <c r="J39" s="110">
        <v>0</v>
      </c>
      <c r="K39" s="111">
        <f t="shared" si="0"/>
        <v>239.99999999999997</v>
      </c>
      <c r="L39" s="111">
        <f t="shared" si="1"/>
        <v>0</v>
      </c>
      <c r="M39" s="111">
        <v>0</v>
      </c>
      <c r="N39" s="111">
        <v>0</v>
      </c>
      <c r="O39" s="111">
        <v>0</v>
      </c>
      <c r="P39" s="111">
        <f t="shared" si="2"/>
        <v>239.99999999999997</v>
      </c>
      <c r="Q39" s="111">
        <v>0</v>
      </c>
      <c r="R39" s="111">
        <v>16.73</v>
      </c>
      <c r="S39" s="111">
        <v>0</v>
      </c>
      <c r="T39" s="153">
        <v>0</v>
      </c>
      <c r="U39" s="112">
        <f t="shared" si="3"/>
        <v>223.26999999999998</v>
      </c>
      <c r="V39" s="112">
        <f t="shared" si="6"/>
        <v>223.26999999999998</v>
      </c>
      <c r="W39" s="112"/>
      <c r="X39" s="112">
        <f t="shared" si="4"/>
        <v>0</v>
      </c>
      <c r="Y39" s="53"/>
    </row>
    <row r="40" spans="1:25" s="186" customFormat="1" ht="45.65" customHeight="1" x14ac:dyDescent="0.55000000000000004">
      <c r="A40" s="105">
        <v>35</v>
      </c>
      <c r="B40" s="106" t="s">
        <v>285</v>
      </c>
      <c r="C40" s="120" t="s">
        <v>138</v>
      </c>
      <c r="D40" s="121"/>
      <c r="E40" s="121"/>
      <c r="F40" s="121"/>
      <c r="G40" s="120" t="s">
        <v>165</v>
      </c>
      <c r="H40" s="106">
        <v>150</v>
      </c>
      <c r="I40" s="110">
        <v>26</v>
      </c>
      <c r="J40" s="110">
        <v>0</v>
      </c>
      <c r="K40" s="111">
        <f t="shared" si="0"/>
        <v>150</v>
      </c>
      <c r="L40" s="111">
        <f t="shared" si="1"/>
        <v>0</v>
      </c>
      <c r="M40" s="111">
        <v>11.54</v>
      </c>
      <c r="N40" s="111">
        <v>0</v>
      </c>
      <c r="O40" s="111">
        <v>0</v>
      </c>
      <c r="P40" s="111">
        <f t="shared" si="2"/>
        <v>161.54</v>
      </c>
      <c r="Q40" s="111">
        <v>0</v>
      </c>
      <c r="R40" s="111">
        <v>34.619999999999997</v>
      </c>
      <c r="S40" s="111">
        <v>0</v>
      </c>
      <c r="T40" s="153">
        <v>0</v>
      </c>
      <c r="U40" s="112">
        <f t="shared" si="3"/>
        <v>126.91999999999999</v>
      </c>
      <c r="V40" s="112">
        <f t="shared" si="6"/>
        <v>126.91999999999999</v>
      </c>
      <c r="W40" s="112"/>
      <c r="X40" s="112">
        <f t="shared" si="4"/>
        <v>0</v>
      </c>
      <c r="Y40" s="53"/>
    </row>
    <row r="41" spans="1:25" ht="45.65" customHeight="1" thickBot="1" x14ac:dyDescent="0.6">
      <c r="A41" s="105">
        <v>36</v>
      </c>
      <c r="B41" s="106" t="s">
        <v>286</v>
      </c>
      <c r="C41" s="129" t="s">
        <v>139</v>
      </c>
      <c r="D41" s="121"/>
      <c r="E41" s="121"/>
      <c r="F41" s="121"/>
      <c r="G41" s="129" t="s">
        <v>167</v>
      </c>
      <c r="H41" s="128">
        <v>150</v>
      </c>
      <c r="I41" s="131">
        <v>26</v>
      </c>
      <c r="J41" s="110">
        <v>0</v>
      </c>
      <c r="K41" s="111">
        <f t="shared" si="0"/>
        <v>150</v>
      </c>
      <c r="L41" s="111">
        <f t="shared" si="1"/>
        <v>0</v>
      </c>
      <c r="M41" s="132">
        <v>0</v>
      </c>
      <c r="N41" s="132">
        <v>0</v>
      </c>
      <c r="O41" s="132">
        <v>0</v>
      </c>
      <c r="P41" s="111">
        <f t="shared" si="2"/>
        <v>150</v>
      </c>
      <c r="Q41" s="132">
        <v>0</v>
      </c>
      <c r="R41" s="111">
        <v>0</v>
      </c>
      <c r="S41" s="132">
        <v>0</v>
      </c>
      <c r="T41" s="193">
        <v>0</v>
      </c>
      <c r="U41" s="112">
        <f t="shared" si="3"/>
        <v>150</v>
      </c>
      <c r="V41" s="112">
        <f t="shared" si="6"/>
        <v>150</v>
      </c>
      <c r="W41" s="112"/>
      <c r="X41" s="112">
        <f t="shared" si="4"/>
        <v>0</v>
      </c>
      <c r="Y41" s="53"/>
    </row>
    <row r="42" spans="1:25" ht="45.65" customHeight="1" x14ac:dyDescent="0.55000000000000004">
      <c r="A42" s="105">
        <v>37</v>
      </c>
      <c r="B42" s="106" t="s">
        <v>287</v>
      </c>
      <c r="C42" s="136" t="s">
        <v>140</v>
      </c>
      <c r="D42" s="121"/>
      <c r="E42" s="121"/>
      <c r="F42" s="121"/>
      <c r="G42" s="136" t="s">
        <v>168</v>
      </c>
      <c r="H42" s="135">
        <v>250</v>
      </c>
      <c r="I42" s="138">
        <v>26</v>
      </c>
      <c r="J42" s="110">
        <v>0</v>
      </c>
      <c r="K42" s="111">
        <f t="shared" si="0"/>
        <v>250</v>
      </c>
      <c r="L42" s="111">
        <f t="shared" si="1"/>
        <v>0</v>
      </c>
      <c r="M42" s="139">
        <v>0</v>
      </c>
      <c r="N42" s="139">
        <v>0</v>
      </c>
      <c r="O42" s="139">
        <v>0</v>
      </c>
      <c r="P42" s="111">
        <f t="shared" si="2"/>
        <v>250</v>
      </c>
      <c r="Q42" s="139">
        <v>0</v>
      </c>
      <c r="R42" s="111">
        <v>0</v>
      </c>
      <c r="S42" s="139">
        <v>0</v>
      </c>
      <c r="T42" s="194">
        <v>0</v>
      </c>
      <c r="U42" s="112">
        <f t="shared" si="3"/>
        <v>250</v>
      </c>
      <c r="V42" s="112">
        <f t="shared" si="6"/>
        <v>250</v>
      </c>
      <c r="W42" s="112"/>
      <c r="X42" s="112">
        <f t="shared" si="4"/>
        <v>0</v>
      </c>
      <c r="Y42" s="53"/>
    </row>
    <row r="43" spans="1:25" ht="45.65" customHeight="1" x14ac:dyDescent="0.55000000000000004">
      <c r="A43" s="105">
        <v>38</v>
      </c>
      <c r="B43" s="106" t="s">
        <v>288</v>
      </c>
      <c r="C43" s="107" t="s">
        <v>141</v>
      </c>
      <c r="D43" s="121"/>
      <c r="E43" s="121"/>
      <c r="F43" s="121"/>
      <c r="G43" s="107" t="s">
        <v>169</v>
      </c>
      <c r="H43" s="109">
        <v>100</v>
      </c>
      <c r="I43" s="110">
        <v>26</v>
      </c>
      <c r="J43" s="110">
        <v>0</v>
      </c>
      <c r="K43" s="111">
        <f t="shared" si="0"/>
        <v>100</v>
      </c>
      <c r="L43" s="111">
        <f t="shared" si="1"/>
        <v>0</v>
      </c>
      <c r="M43" s="111">
        <v>0</v>
      </c>
      <c r="N43" s="111">
        <v>0</v>
      </c>
      <c r="O43" s="111">
        <v>0</v>
      </c>
      <c r="P43" s="111">
        <f t="shared" si="2"/>
        <v>100</v>
      </c>
      <c r="Q43" s="111">
        <v>0</v>
      </c>
      <c r="R43" s="111">
        <v>0</v>
      </c>
      <c r="S43" s="111">
        <v>0</v>
      </c>
      <c r="T43" s="153">
        <v>0</v>
      </c>
      <c r="U43" s="112">
        <f t="shared" si="3"/>
        <v>100</v>
      </c>
      <c r="V43" s="112">
        <f t="shared" si="6"/>
        <v>100</v>
      </c>
      <c r="W43" s="112"/>
      <c r="X43" s="112">
        <f t="shared" si="4"/>
        <v>0</v>
      </c>
      <c r="Y43" s="53"/>
    </row>
    <row r="44" spans="1:25" ht="45.65" customHeight="1" x14ac:dyDescent="0.55000000000000004">
      <c r="A44" s="105">
        <v>39</v>
      </c>
      <c r="B44" s="106" t="s">
        <v>289</v>
      </c>
      <c r="C44" s="107" t="s">
        <v>142</v>
      </c>
      <c r="D44" s="121"/>
      <c r="E44" s="121"/>
      <c r="F44" s="121"/>
      <c r="G44" s="107" t="s">
        <v>170</v>
      </c>
      <c r="H44" s="109">
        <v>150</v>
      </c>
      <c r="I44" s="110">
        <v>26</v>
      </c>
      <c r="J44" s="110">
        <v>0</v>
      </c>
      <c r="K44" s="111">
        <f t="shared" si="0"/>
        <v>150</v>
      </c>
      <c r="L44" s="111">
        <f t="shared" si="1"/>
        <v>0</v>
      </c>
      <c r="M44" s="111">
        <v>0</v>
      </c>
      <c r="N44" s="111">
        <v>0</v>
      </c>
      <c r="O44" s="111">
        <v>0</v>
      </c>
      <c r="P44" s="111">
        <f t="shared" si="2"/>
        <v>150</v>
      </c>
      <c r="Q44" s="111">
        <v>0</v>
      </c>
      <c r="R44" s="111">
        <v>0</v>
      </c>
      <c r="S44" s="111">
        <v>0</v>
      </c>
      <c r="T44" s="153">
        <v>0</v>
      </c>
      <c r="U44" s="112">
        <f t="shared" si="3"/>
        <v>150</v>
      </c>
      <c r="V44" s="112">
        <f t="shared" si="6"/>
        <v>150</v>
      </c>
      <c r="W44" s="112"/>
      <c r="X44" s="112">
        <f t="shared" si="4"/>
        <v>0</v>
      </c>
      <c r="Y44" s="53"/>
    </row>
    <row r="45" spans="1:25" ht="45.65" customHeight="1" x14ac:dyDescent="0.55000000000000004">
      <c r="A45" s="105">
        <v>40</v>
      </c>
      <c r="B45" s="106" t="s">
        <v>290</v>
      </c>
      <c r="C45" s="107" t="s">
        <v>251</v>
      </c>
      <c r="D45" s="121"/>
      <c r="E45" s="121"/>
      <c r="F45" s="121"/>
      <c r="G45" s="107" t="s">
        <v>169</v>
      </c>
      <c r="H45" s="109">
        <v>100</v>
      </c>
      <c r="I45" s="110">
        <v>26</v>
      </c>
      <c r="J45" s="110">
        <v>0</v>
      </c>
      <c r="K45" s="111">
        <f t="shared" si="0"/>
        <v>100</v>
      </c>
      <c r="L45" s="111">
        <f t="shared" si="1"/>
        <v>0</v>
      </c>
      <c r="M45" s="111">
        <v>0</v>
      </c>
      <c r="N45" s="111">
        <v>0</v>
      </c>
      <c r="O45" s="111">
        <v>0</v>
      </c>
      <c r="P45" s="111">
        <f t="shared" si="2"/>
        <v>100</v>
      </c>
      <c r="Q45" s="111">
        <v>0</v>
      </c>
      <c r="R45" s="111">
        <v>0</v>
      </c>
      <c r="S45" s="111">
        <v>0</v>
      </c>
      <c r="T45" s="153">
        <v>0</v>
      </c>
      <c r="U45" s="112">
        <f t="shared" si="3"/>
        <v>100</v>
      </c>
      <c r="V45" s="112">
        <f t="shared" si="6"/>
        <v>100</v>
      </c>
      <c r="W45" s="112"/>
      <c r="X45" s="112">
        <f t="shared" si="4"/>
        <v>0</v>
      </c>
      <c r="Y45" s="53"/>
    </row>
    <row r="46" spans="1:25" ht="45.65" customHeight="1" x14ac:dyDescent="0.55000000000000004">
      <c r="A46" s="105">
        <v>41</v>
      </c>
      <c r="B46" s="106" t="s">
        <v>255</v>
      </c>
      <c r="C46" s="107" t="s">
        <v>253</v>
      </c>
      <c r="D46" s="121"/>
      <c r="E46" s="121"/>
      <c r="F46" s="121"/>
      <c r="G46" s="107"/>
      <c r="H46" s="109">
        <v>500</v>
      </c>
      <c r="I46" s="110">
        <v>26</v>
      </c>
      <c r="J46" s="110">
        <v>0</v>
      </c>
      <c r="K46" s="111">
        <f t="shared" si="0"/>
        <v>500</v>
      </c>
      <c r="L46" s="111">
        <f t="shared" si="1"/>
        <v>0</v>
      </c>
      <c r="M46" s="111">
        <v>0</v>
      </c>
      <c r="N46" s="111">
        <v>0</v>
      </c>
      <c r="O46" s="111">
        <v>0</v>
      </c>
      <c r="P46" s="111">
        <f t="shared" si="2"/>
        <v>500</v>
      </c>
      <c r="Q46" s="111">
        <v>0</v>
      </c>
      <c r="R46" s="111">
        <v>0</v>
      </c>
      <c r="S46" s="111">
        <v>0</v>
      </c>
      <c r="T46" s="153">
        <v>0</v>
      </c>
      <c r="U46" s="112">
        <f t="shared" si="3"/>
        <v>500</v>
      </c>
      <c r="V46" s="112">
        <f t="shared" si="6"/>
        <v>500</v>
      </c>
      <c r="W46" s="112"/>
      <c r="X46" s="112">
        <f t="shared" si="4"/>
        <v>0</v>
      </c>
      <c r="Y46" s="53"/>
    </row>
    <row r="47" spans="1:25" ht="45.65" customHeight="1" x14ac:dyDescent="0.55000000000000004">
      <c r="A47" s="105">
        <v>42</v>
      </c>
      <c r="B47" s="106" t="s">
        <v>292</v>
      </c>
      <c r="C47" s="107" t="s">
        <v>254</v>
      </c>
      <c r="D47" s="121"/>
      <c r="E47" s="121"/>
      <c r="F47" s="121"/>
      <c r="G47" s="107"/>
      <c r="H47" s="109">
        <v>350</v>
      </c>
      <c r="I47" s="110">
        <v>26</v>
      </c>
      <c r="J47" s="110">
        <v>0</v>
      </c>
      <c r="K47" s="111">
        <f t="shared" si="0"/>
        <v>350</v>
      </c>
      <c r="L47" s="111">
        <f t="shared" si="1"/>
        <v>0</v>
      </c>
      <c r="M47" s="111">
        <v>0</v>
      </c>
      <c r="N47" s="111">
        <v>0</v>
      </c>
      <c r="O47" s="111">
        <v>0</v>
      </c>
      <c r="P47" s="111">
        <f t="shared" si="2"/>
        <v>350</v>
      </c>
      <c r="Q47" s="111">
        <v>0</v>
      </c>
      <c r="R47" s="111">
        <v>0</v>
      </c>
      <c r="S47" s="111">
        <v>0</v>
      </c>
      <c r="T47" s="153">
        <v>0</v>
      </c>
      <c r="U47" s="112">
        <f t="shared" si="3"/>
        <v>350</v>
      </c>
      <c r="V47" s="112">
        <f t="shared" si="6"/>
        <v>350</v>
      </c>
      <c r="W47" s="112"/>
      <c r="X47" s="112">
        <f t="shared" si="4"/>
        <v>0</v>
      </c>
      <c r="Y47" s="53"/>
    </row>
    <row r="48" spans="1:25" ht="45.65" customHeight="1" x14ac:dyDescent="0.55000000000000004">
      <c r="A48" s="105">
        <v>43</v>
      </c>
      <c r="B48" s="106" t="s">
        <v>293</v>
      </c>
      <c r="C48" s="107" t="s">
        <v>259</v>
      </c>
      <c r="D48" s="121"/>
      <c r="E48" s="121"/>
      <c r="F48" s="121"/>
      <c r="G48" s="107"/>
      <c r="H48" s="109">
        <v>80</v>
      </c>
      <c r="I48" s="110">
        <v>26</v>
      </c>
      <c r="J48" s="110">
        <v>0</v>
      </c>
      <c r="K48" s="111">
        <f t="shared" si="0"/>
        <v>80</v>
      </c>
      <c r="L48" s="111">
        <f t="shared" si="1"/>
        <v>0</v>
      </c>
      <c r="M48" s="111">
        <v>0</v>
      </c>
      <c r="N48" s="111">
        <v>0</v>
      </c>
      <c r="O48" s="111">
        <v>0</v>
      </c>
      <c r="P48" s="111">
        <f t="shared" si="2"/>
        <v>80</v>
      </c>
      <c r="Q48" s="111">
        <v>0</v>
      </c>
      <c r="R48" s="111">
        <v>0</v>
      </c>
      <c r="S48" s="111">
        <v>0</v>
      </c>
      <c r="T48" s="153">
        <v>0</v>
      </c>
      <c r="U48" s="112">
        <f t="shared" si="3"/>
        <v>80</v>
      </c>
      <c r="V48" s="112">
        <f t="shared" si="6"/>
        <v>80</v>
      </c>
      <c r="W48" s="112"/>
      <c r="X48" s="112">
        <f t="shared" si="4"/>
        <v>0</v>
      </c>
      <c r="Y48" s="53"/>
    </row>
    <row r="49" spans="1:25" ht="45.65" customHeight="1" x14ac:dyDescent="0.55000000000000004">
      <c r="A49" s="105">
        <v>44</v>
      </c>
      <c r="B49" s="106" t="s">
        <v>294</v>
      </c>
      <c r="C49" s="107" t="s">
        <v>260</v>
      </c>
      <c r="D49" s="121"/>
      <c r="E49" s="121"/>
      <c r="F49" s="121"/>
      <c r="G49" s="107"/>
      <c r="H49" s="109">
        <v>60</v>
      </c>
      <c r="I49" s="110">
        <v>26</v>
      </c>
      <c r="J49" s="110">
        <v>0</v>
      </c>
      <c r="K49" s="111">
        <f t="shared" si="0"/>
        <v>59.999999999999993</v>
      </c>
      <c r="L49" s="111">
        <f t="shared" si="1"/>
        <v>0</v>
      </c>
      <c r="M49" s="111">
        <v>0</v>
      </c>
      <c r="N49" s="111">
        <v>0</v>
      </c>
      <c r="O49" s="111">
        <v>0</v>
      </c>
      <c r="P49" s="111">
        <f t="shared" si="2"/>
        <v>59.999999999999993</v>
      </c>
      <c r="Q49" s="111">
        <v>0</v>
      </c>
      <c r="R49" s="111">
        <v>0</v>
      </c>
      <c r="S49" s="111">
        <v>0</v>
      </c>
      <c r="T49" s="153">
        <v>0</v>
      </c>
      <c r="U49" s="112">
        <f t="shared" si="3"/>
        <v>59.999999999999993</v>
      </c>
      <c r="V49" s="112">
        <v>0</v>
      </c>
      <c r="W49" s="112">
        <f>U49</f>
        <v>59.999999999999993</v>
      </c>
      <c r="X49" s="112">
        <f>W49-U49</f>
        <v>0</v>
      </c>
      <c r="Y49" s="53"/>
    </row>
    <row r="50" spans="1:25" ht="45.65" customHeight="1" x14ac:dyDescent="0.55000000000000004">
      <c r="A50" s="105">
        <v>45</v>
      </c>
      <c r="B50" s="106" t="s">
        <v>297</v>
      </c>
      <c r="C50" s="107" t="s">
        <v>301</v>
      </c>
      <c r="D50" s="121"/>
      <c r="E50" s="108"/>
      <c r="F50" s="121"/>
      <c r="G50" s="107"/>
      <c r="H50" s="109">
        <v>270</v>
      </c>
      <c r="I50" s="110">
        <v>26</v>
      </c>
      <c r="J50" s="110">
        <v>0</v>
      </c>
      <c r="K50" s="111">
        <f t="shared" si="0"/>
        <v>270</v>
      </c>
      <c r="L50" s="111">
        <f t="shared" si="1"/>
        <v>0</v>
      </c>
      <c r="M50" s="111">
        <v>0</v>
      </c>
      <c r="N50" s="111">
        <v>0</v>
      </c>
      <c r="O50" s="111">
        <v>0</v>
      </c>
      <c r="P50" s="111">
        <f t="shared" si="2"/>
        <v>270</v>
      </c>
      <c r="Q50" s="111">
        <v>0</v>
      </c>
      <c r="R50" s="111">
        <v>0</v>
      </c>
      <c r="S50" s="111">
        <v>0</v>
      </c>
      <c r="T50" s="153">
        <v>0</v>
      </c>
      <c r="U50" s="112">
        <f t="shared" si="3"/>
        <v>270</v>
      </c>
      <c r="V50" s="112">
        <f t="shared" si="6"/>
        <v>270</v>
      </c>
      <c r="W50" s="112"/>
      <c r="X50" s="112">
        <f t="shared" si="4"/>
        <v>0</v>
      </c>
      <c r="Y50" s="53"/>
    </row>
    <row r="51" spans="1:25" ht="45.65" customHeight="1" x14ac:dyDescent="0.55000000000000004">
      <c r="A51" s="105">
        <v>46</v>
      </c>
      <c r="B51" s="106" t="s">
        <v>304</v>
      </c>
      <c r="C51" s="107" t="s">
        <v>302</v>
      </c>
      <c r="D51" s="121"/>
      <c r="E51" s="108"/>
      <c r="F51" s="121"/>
      <c r="G51" s="107"/>
      <c r="H51" s="109">
        <v>80</v>
      </c>
      <c r="I51" s="110">
        <v>26</v>
      </c>
      <c r="J51" s="110">
        <v>0</v>
      </c>
      <c r="K51" s="111">
        <f t="shared" si="0"/>
        <v>80</v>
      </c>
      <c r="L51" s="111">
        <f t="shared" si="1"/>
        <v>0</v>
      </c>
      <c r="M51" s="111">
        <v>0</v>
      </c>
      <c r="N51" s="111">
        <v>0</v>
      </c>
      <c r="O51" s="111">
        <v>0</v>
      </c>
      <c r="P51" s="111">
        <f t="shared" si="2"/>
        <v>80</v>
      </c>
      <c r="Q51" s="111">
        <v>0</v>
      </c>
      <c r="R51" s="111">
        <v>0</v>
      </c>
      <c r="S51" s="111">
        <v>0</v>
      </c>
      <c r="T51" s="153">
        <v>0</v>
      </c>
      <c r="U51" s="112">
        <f t="shared" si="3"/>
        <v>80</v>
      </c>
      <c r="V51" s="112">
        <f t="shared" si="6"/>
        <v>80</v>
      </c>
      <c r="W51" s="112"/>
      <c r="X51" s="112">
        <f t="shared" si="4"/>
        <v>0</v>
      </c>
      <c r="Y51" s="53"/>
    </row>
    <row r="52" spans="1:25" ht="45.65" customHeight="1" x14ac:dyDescent="0.55000000000000004">
      <c r="A52" s="105">
        <v>47</v>
      </c>
      <c r="B52" s="106" t="s">
        <v>282</v>
      </c>
      <c r="C52" s="120" t="s">
        <v>135</v>
      </c>
      <c r="D52" s="121"/>
      <c r="E52" s="121" t="s">
        <v>184</v>
      </c>
      <c r="F52" s="121"/>
      <c r="G52" s="120" t="s">
        <v>165</v>
      </c>
      <c r="H52" s="106">
        <v>80</v>
      </c>
      <c r="I52" s="110">
        <v>26</v>
      </c>
      <c r="J52" s="110">
        <v>0</v>
      </c>
      <c r="K52" s="111">
        <f t="shared" si="0"/>
        <v>80</v>
      </c>
      <c r="L52" s="111">
        <f t="shared" si="1"/>
        <v>0</v>
      </c>
      <c r="M52" s="111">
        <v>0</v>
      </c>
      <c r="N52" s="111">
        <v>0</v>
      </c>
      <c r="O52" s="111">
        <v>0</v>
      </c>
      <c r="P52" s="111">
        <f t="shared" si="2"/>
        <v>80</v>
      </c>
      <c r="Q52" s="111">
        <v>0</v>
      </c>
      <c r="R52" s="111">
        <v>0</v>
      </c>
      <c r="S52" s="111">
        <v>0</v>
      </c>
      <c r="T52" s="153">
        <v>0</v>
      </c>
      <c r="U52" s="112">
        <f t="shared" si="3"/>
        <v>80</v>
      </c>
      <c r="V52" s="112">
        <v>0</v>
      </c>
      <c r="W52" s="112">
        <f>U52</f>
        <v>80</v>
      </c>
      <c r="X52" s="112">
        <f>W52-U52</f>
        <v>0</v>
      </c>
      <c r="Y52" s="53"/>
    </row>
    <row r="53" spans="1:25" ht="45.65" customHeight="1" x14ac:dyDescent="0.55000000000000004">
      <c r="A53" s="105">
        <v>48</v>
      </c>
      <c r="B53" s="106" t="s">
        <v>305</v>
      </c>
      <c r="C53" s="120" t="s">
        <v>303</v>
      </c>
      <c r="D53" s="121"/>
      <c r="E53" s="121" t="s">
        <v>322</v>
      </c>
      <c r="F53" s="121"/>
      <c r="G53" s="120"/>
      <c r="H53" s="106">
        <v>250</v>
      </c>
      <c r="I53" s="110">
        <v>26</v>
      </c>
      <c r="J53" s="110">
        <v>0</v>
      </c>
      <c r="K53" s="111">
        <f t="shared" si="0"/>
        <v>250</v>
      </c>
      <c r="L53" s="111">
        <f t="shared" si="1"/>
        <v>0</v>
      </c>
      <c r="M53" s="111">
        <v>0</v>
      </c>
      <c r="N53" s="111">
        <v>0</v>
      </c>
      <c r="O53" s="111">
        <v>0</v>
      </c>
      <c r="P53" s="111">
        <f t="shared" si="2"/>
        <v>250</v>
      </c>
      <c r="Q53" s="111">
        <v>0</v>
      </c>
      <c r="R53" s="111">
        <v>0</v>
      </c>
      <c r="S53" s="111">
        <v>0</v>
      </c>
      <c r="T53" s="153">
        <v>0</v>
      </c>
      <c r="U53" s="112">
        <f t="shared" si="3"/>
        <v>250</v>
      </c>
      <c r="V53" s="112">
        <f t="shared" si="6"/>
        <v>250</v>
      </c>
      <c r="W53" s="112"/>
      <c r="X53" s="112">
        <f t="shared" si="4"/>
        <v>0</v>
      </c>
      <c r="Y53" s="53"/>
    </row>
    <row r="54" spans="1:25" ht="45.65" customHeight="1" x14ac:dyDescent="0.55000000000000004">
      <c r="A54" s="105">
        <v>49</v>
      </c>
      <c r="B54" s="106" t="s">
        <v>237</v>
      </c>
      <c r="C54" s="107" t="s">
        <v>213</v>
      </c>
      <c r="D54" s="121"/>
      <c r="E54" s="108" t="s">
        <v>177</v>
      </c>
      <c r="F54" s="121" t="s">
        <v>332</v>
      </c>
      <c r="G54" s="107"/>
      <c r="H54" s="188">
        <v>434</v>
      </c>
      <c r="I54" s="110">
        <v>26</v>
      </c>
      <c r="J54" s="110">
        <v>0</v>
      </c>
      <c r="K54" s="111">
        <f t="shared" si="0"/>
        <v>434</v>
      </c>
      <c r="L54" s="111">
        <f t="shared" si="1"/>
        <v>0</v>
      </c>
      <c r="M54" s="111">
        <v>0</v>
      </c>
      <c r="N54" s="111">
        <v>0</v>
      </c>
      <c r="O54" s="111">
        <v>0</v>
      </c>
      <c r="P54" s="111">
        <f t="shared" si="2"/>
        <v>434</v>
      </c>
      <c r="Q54" s="111">
        <v>0</v>
      </c>
      <c r="R54" s="111">
        <v>0</v>
      </c>
      <c r="S54" s="111">
        <v>0</v>
      </c>
      <c r="T54" s="153">
        <v>0</v>
      </c>
      <c r="U54" s="112">
        <f t="shared" si="3"/>
        <v>434</v>
      </c>
      <c r="V54" s="112">
        <v>600</v>
      </c>
      <c r="W54" s="112"/>
      <c r="X54" s="112">
        <f t="shared" si="4"/>
        <v>166</v>
      </c>
      <c r="Y54" s="53" t="s">
        <v>176</v>
      </c>
    </row>
    <row r="55" spans="1:25" ht="45.65" customHeight="1" x14ac:dyDescent="0.55000000000000004">
      <c r="A55" s="105">
        <v>50</v>
      </c>
      <c r="B55" s="106" t="s">
        <v>238</v>
      </c>
      <c r="C55" s="107" t="s">
        <v>214</v>
      </c>
      <c r="D55" s="121"/>
      <c r="E55" s="108" t="s">
        <v>177</v>
      </c>
      <c r="F55" s="121" t="s">
        <v>348</v>
      </c>
      <c r="G55" s="107" t="s">
        <v>295</v>
      </c>
      <c r="H55" s="141">
        <v>422.6</v>
      </c>
      <c r="I55" s="110">
        <v>26</v>
      </c>
      <c r="J55" s="110">
        <v>0</v>
      </c>
      <c r="K55" s="111">
        <f t="shared" si="0"/>
        <v>422.6</v>
      </c>
      <c r="L55" s="111">
        <f t="shared" si="1"/>
        <v>0</v>
      </c>
      <c r="M55" s="111">
        <v>0</v>
      </c>
      <c r="N55" s="111">
        <v>0</v>
      </c>
      <c r="O55" s="111">
        <v>0</v>
      </c>
      <c r="P55" s="111">
        <f t="shared" si="2"/>
        <v>422.6</v>
      </c>
      <c r="Q55" s="111">
        <v>0</v>
      </c>
      <c r="R55" s="111">
        <v>0</v>
      </c>
      <c r="S55" s="111">
        <v>0</v>
      </c>
      <c r="T55" s="153">
        <v>0</v>
      </c>
      <c r="U55" s="112">
        <f t="shared" si="3"/>
        <v>422.6</v>
      </c>
      <c r="V55" s="112">
        <f>U55</f>
        <v>422.6</v>
      </c>
      <c r="W55" s="112"/>
      <c r="X55" s="112">
        <f t="shared" si="4"/>
        <v>0</v>
      </c>
      <c r="Y55" s="53"/>
    </row>
    <row r="56" spans="1:25" ht="45.65" customHeight="1" x14ac:dyDescent="0.55000000000000004">
      <c r="A56" s="105">
        <v>51</v>
      </c>
      <c r="B56" s="106" t="s">
        <v>239</v>
      </c>
      <c r="C56" s="107" t="s">
        <v>175</v>
      </c>
      <c r="D56" s="267" t="s">
        <v>315</v>
      </c>
      <c r="E56" s="268"/>
      <c r="F56" s="268"/>
      <c r="G56" s="269"/>
      <c r="H56" s="109">
        <v>0</v>
      </c>
      <c r="I56" s="110">
        <v>26</v>
      </c>
      <c r="J56" s="110">
        <v>0</v>
      </c>
      <c r="K56" s="111">
        <f t="shared" si="0"/>
        <v>0</v>
      </c>
      <c r="L56" s="111">
        <f t="shared" si="1"/>
        <v>0</v>
      </c>
      <c r="M56" s="111">
        <v>0</v>
      </c>
      <c r="N56" s="111">
        <v>0</v>
      </c>
      <c r="O56" s="111">
        <v>0</v>
      </c>
      <c r="P56" s="111">
        <f t="shared" si="2"/>
        <v>0</v>
      </c>
      <c r="Q56" s="111">
        <v>0</v>
      </c>
      <c r="R56" s="111">
        <v>0</v>
      </c>
      <c r="S56" s="111">
        <v>0</v>
      </c>
      <c r="T56" s="153">
        <v>0</v>
      </c>
      <c r="U56" s="112">
        <f t="shared" si="3"/>
        <v>0</v>
      </c>
      <c r="V56" s="112">
        <v>300</v>
      </c>
      <c r="W56" s="112"/>
      <c r="X56" s="112">
        <f t="shared" si="4"/>
        <v>300</v>
      </c>
      <c r="Y56" s="53" t="s">
        <v>176</v>
      </c>
    </row>
    <row r="57" spans="1:25" ht="45.65" customHeight="1" x14ac:dyDescent="0.55000000000000004">
      <c r="A57" s="105">
        <v>52</v>
      </c>
      <c r="B57" s="106" t="s">
        <v>240</v>
      </c>
      <c r="C57" s="107" t="s">
        <v>145</v>
      </c>
      <c r="D57" s="267" t="s">
        <v>315</v>
      </c>
      <c r="E57" s="268"/>
      <c r="F57" s="268"/>
      <c r="G57" s="269"/>
      <c r="H57" s="109">
        <v>0</v>
      </c>
      <c r="I57" s="110">
        <v>26</v>
      </c>
      <c r="J57" s="110">
        <v>0</v>
      </c>
      <c r="K57" s="111">
        <f t="shared" si="0"/>
        <v>0</v>
      </c>
      <c r="L57" s="111">
        <f t="shared" si="1"/>
        <v>0</v>
      </c>
      <c r="M57" s="111">
        <v>0</v>
      </c>
      <c r="N57" s="111">
        <v>0</v>
      </c>
      <c r="O57" s="111">
        <v>0</v>
      </c>
      <c r="P57" s="111">
        <f t="shared" si="2"/>
        <v>0</v>
      </c>
      <c r="Q57" s="111">
        <v>0</v>
      </c>
      <c r="R57" s="111">
        <v>0</v>
      </c>
      <c r="S57" s="111">
        <v>0</v>
      </c>
      <c r="T57" s="153">
        <v>0</v>
      </c>
      <c r="U57" s="112">
        <f t="shared" si="3"/>
        <v>0</v>
      </c>
      <c r="V57" s="112">
        <v>600</v>
      </c>
      <c r="W57" s="112"/>
      <c r="X57" s="112">
        <f t="shared" si="4"/>
        <v>600</v>
      </c>
      <c r="Y57" s="52" t="s">
        <v>176</v>
      </c>
    </row>
    <row r="58" spans="1:25" ht="45.65" customHeight="1" x14ac:dyDescent="0.55000000000000004">
      <c r="A58" s="105">
        <f t="shared" ref="A58:A60" si="7">A57+1</f>
        <v>53</v>
      </c>
      <c r="B58" s="106"/>
      <c r="C58" s="107"/>
      <c r="D58" s="108"/>
      <c r="E58" s="108"/>
      <c r="F58" s="108"/>
      <c r="G58" s="107"/>
      <c r="H58" s="109"/>
      <c r="I58" s="110">
        <v>26</v>
      </c>
      <c r="J58" s="110">
        <v>0</v>
      </c>
      <c r="K58" s="111">
        <f t="shared" si="0"/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f t="shared" si="2"/>
        <v>0</v>
      </c>
      <c r="Q58" s="111">
        <v>0</v>
      </c>
      <c r="R58" s="111">
        <v>0</v>
      </c>
      <c r="S58" s="111">
        <v>0</v>
      </c>
      <c r="T58" s="153">
        <v>0</v>
      </c>
      <c r="U58" s="112">
        <f t="shared" si="3"/>
        <v>0</v>
      </c>
      <c r="V58" s="112">
        <f t="shared" ref="V58:V60" si="8">U58</f>
        <v>0</v>
      </c>
      <c r="W58" s="112"/>
      <c r="X58" s="112">
        <f t="shared" si="4"/>
        <v>0</v>
      </c>
      <c r="Y58" s="51"/>
    </row>
    <row r="59" spans="1:25" ht="45.65" customHeight="1" x14ac:dyDescent="0.55000000000000004">
      <c r="A59" s="105">
        <f t="shared" si="7"/>
        <v>54</v>
      </c>
      <c r="B59" s="106"/>
      <c r="C59" s="107"/>
      <c r="D59" s="108"/>
      <c r="E59" s="108"/>
      <c r="F59" s="108"/>
      <c r="G59" s="107"/>
      <c r="H59" s="109"/>
      <c r="I59" s="110">
        <v>26</v>
      </c>
      <c r="J59" s="110">
        <v>0</v>
      </c>
      <c r="K59" s="111">
        <f t="shared" si="0"/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f t="shared" si="2"/>
        <v>0</v>
      </c>
      <c r="Q59" s="111">
        <v>0</v>
      </c>
      <c r="R59" s="111">
        <v>0</v>
      </c>
      <c r="S59" s="111">
        <v>0</v>
      </c>
      <c r="T59" s="153">
        <v>0</v>
      </c>
      <c r="U59" s="112">
        <f t="shared" si="3"/>
        <v>0</v>
      </c>
      <c r="V59" s="112">
        <f t="shared" si="8"/>
        <v>0</v>
      </c>
      <c r="W59" s="112"/>
      <c r="X59" s="112">
        <f t="shared" si="4"/>
        <v>0</v>
      </c>
      <c r="Y59" s="51"/>
    </row>
    <row r="60" spans="1:25" ht="45.65" customHeight="1" thickBot="1" x14ac:dyDescent="0.6">
      <c r="A60" s="105">
        <f t="shared" si="7"/>
        <v>55</v>
      </c>
      <c r="B60" s="106"/>
      <c r="C60" s="144"/>
      <c r="D60" s="145"/>
      <c r="E60" s="145"/>
      <c r="F60" s="145"/>
      <c r="G60" s="144"/>
      <c r="H60" s="146"/>
      <c r="I60" s="147">
        <v>26</v>
      </c>
      <c r="J60" s="110">
        <v>0</v>
      </c>
      <c r="K60" s="111">
        <f t="shared" si="0"/>
        <v>0</v>
      </c>
      <c r="L60" s="111">
        <v>0</v>
      </c>
      <c r="M60" s="148">
        <v>0</v>
      </c>
      <c r="N60" s="148">
        <v>0</v>
      </c>
      <c r="O60" s="148">
        <v>0</v>
      </c>
      <c r="P60" s="111">
        <f t="shared" si="2"/>
        <v>0</v>
      </c>
      <c r="Q60" s="148">
        <v>0</v>
      </c>
      <c r="R60" s="111">
        <v>0</v>
      </c>
      <c r="S60" s="148">
        <v>0</v>
      </c>
      <c r="T60" s="195">
        <v>0</v>
      </c>
      <c r="U60" s="112">
        <f t="shared" si="3"/>
        <v>0</v>
      </c>
      <c r="V60" s="112">
        <f t="shared" si="8"/>
        <v>0</v>
      </c>
      <c r="W60" s="112"/>
      <c r="X60" s="112">
        <f t="shared" si="4"/>
        <v>0</v>
      </c>
      <c r="Y60" s="54"/>
    </row>
    <row r="61" spans="1:25" ht="50.15" customHeight="1" thickBot="1" x14ac:dyDescent="0.45">
      <c r="A61" s="157" t="s">
        <v>0</v>
      </c>
      <c r="B61" s="158"/>
      <c r="C61" s="158"/>
      <c r="D61" s="158"/>
      <c r="E61" s="158"/>
      <c r="F61" s="158"/>
      <c r="G61" s="158"/>
      <c r="H61" s="116">
        <f>SUBTOTAL(9,H6:H60)</f>
        <v>12381.6</v>
      </c>
      <c r="I61" s="158"/>
      <c r="J61" s="159"/>
      <c r="K61" s="116">
        <f t="shared" ref="K61:X61" si="9">SUBTOTAL(9,K6:K60)</f>
        <v>12381.6</v>
      </c>
      <c r="L61" s="116">
        <f t="shared" si="9"/>
        <v>0</v>
      </c>
      <c r="M61" s="116">
        <f t="shared" si="9"/>
        <v>71.539999999999992</v>
      </c>
      <c r="N61" s="116">
        <f t="shared" si="9"/>
        <v>0</v>
      </c>
      <c r="O61" s="116">
        <f t="shared" si="9"/>
        <v>300</v>
      </c>
      <c r="P61" s="116">
        <f t="shared" si="9"/>
        <v>12753.140000000001</v>
      </c>
      <c r="Q61" s="116">
        <f t="shared" si="9"/>
        <v>0</v>
      </c>
      <c r="R61" s="116">
        <f t="shared" si="9"/>
        <v>184.62</v>
      </c>
      <c r="S61" s="116">
        <f t="shared" si="9"/>
        <v>150</v>
      </c>
      <c r="T61" s="116">
        <f t="shared" si="9"/>
        <v>0</v>
      </c>
      <c r="U61" s="124">
        <f t="shared" si="9"/>
        <v>12418.52</v>
      </c>
      <c r="V61" s="124">
        <f t="shared" si="9"/>
        <v>14084.52</v>
      </c>
      <c r="W61" s="124">
        <f t="shared" si="9"/>
        <v>340</v>
      </c>
      <c r="X61" s="124">
        <f t="shared" si="9"/>
        <v>2006</v>
      </c>
      <c r="Y61" s="116"/>
    </row>
    <row r="63" spans="1:25" s="190" customFormat="1" ht="20.6" x14ac:dyDescent="0.55000000000000004">
      <c r="C63" s="190" t="s">
        <v>312</v>
      </c>
      <c r="K63" s="190" t="s">
        <v>313</v>
      </c>
      <c r="V63" s="190" t="s">
        <v>314</v>
      </c>
    </row>
    <row r="65" spans="16:22" x14ac:dyDescent="0.4">
      <c r="P65" s="123"/>
      <c r="S65" s="123"/>
    </row>
    <row r="66" spans="16:22" x14ac:dyDescent="0.4">
      <c r="V66" s="123"/>
    </row>
  </sheetData>
  <autoFilter ref="A5:Y60" xr:uid="{00000000-0001-0000-0300-000000000000}"/>
  <mergeCells count="21">
    <mergeCell ref="D56:G56"/>
    <mergeCell ref="D57:G57"/>
    <mergeCell ref="H4:H5"/>
    <mergeCell ref="I4:I5"/>
    <mergeCell ref="J4:J5"/>
    <mergeCell ref="A1:Y1"/>
    <mergeCell ref="A2:Y2"/>
    <mergeCell ref="A3:Y3"/>
    <mergeCell ref="A4:A5"/>
    <mergeCell ref="B4:B5"/>
    <mergeCell ref="C4:C5"/>
    <mergeCell ref="D4:D5"/>
    <mergeCell ref="E4:E5"/>
    <mergeCell ref="F4:F5"/>
    <mergeCell ref="G4:G5"/>
    <mergeCell ref="V4:W4"/>
    <mergeCell ref="X4:X5"/>
    <mergeCell ref="Y4:Y5"/>
    <mergeCell ref="K4:P4"/>
    <mergeCell ref="Q4:T4"/>
    <mergeCell ref="U4:U5"/>
  </mergeCells>
  <conditionalFormatting sqref="C6:C60">
    <cfRule type="duplicateValues" dxfId="4" priority="1"/>
  </conditionalFormatting>
  <printOptions horizontalCentered="1"/>
  <pageMargins left="0.25" right="0.25" top="0.75" bottom="0.75" header="0.3" footer="0.3"/>
  <pageSetup paperSize="9" scale="32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D1F6-FF65-4092-A166-844B7C275E56}">
  <sheetPr>
    <pageSetUpPr fitToPage="1"/>
  </sheetPr>
  <dimension ref="A1:X66"/>
  <sheetViews>
    <sheetView zoomScale="70" zoomScaleNormal="70" workbookViewId="0">
      <pane ySplit="5" topLeftCell="A6" activePane="bottomLeft" state="frozen"/>
      <selection activeCell="O61" sqref="O61:Z61"/>
      <selection pane="bottomLeft" activeCell="A6" sqref="A6:XFD6"/>
    </sheetView>
  </sheetViews>
  <sheetFormatPr defaultRowHeight="14.6" x14ac:dyDescent="0.4"/>
  <cols>
    <col min="2" max="2" width="17.69140625" customWidth="1"/>
    <col min="3" max="3" width="45.3046875" style="4" customWidth="1"/>
    <col min="4" max="4" width="15.3828125" customWidth="1"/>
    <col min="5" max="5" width="19.15234375" customWidth="1"/>
    <col min="6" max="6" width="15.3828125" customWidth="1"/>
    <col min="7" max="7" width="16" customWidth="1"/>
    <col min="8" max="8" width="18.3828125" customWidth="1"/>
    <col min="9" max="9" width="12" customWidth="1"/>
    <col min="10" max="10" width="10.84375" customWidth="1"/>
    <col min="11" max="11" width="23.84375" customWidth="1"/>
    <col min="12" max="12" width="17.15234375" customWidth="1"/>
    <col min="13" max="13" width="14.53515625" customWidth="1"/>
    <col min="14" max="14" width="14" customWidth="1"/>
    <col min="15" max="15" width="14.3046875" customWidth="1"/>
    <col min="16" max="16" width="26.3046875" customWidth="1"/>
    <col min="17" max="17" width="17.3046875" customWidth="1"/>
    <col min="18" max="18" width="14.3828125" customWidth="1"/>
    <col min="19" max="19" width="15.3046875" customWidth="1"/>
    <col min="20" max="20" width="14.69140625" customWidth="1"/>
    <col min="21" max="23" width="21.15234375" customWidth="1"/>
    <col min="24" max="24" width="36.3046875" customWidth="1"/>
  </cols>
  <sheetData>
    <row r="1" spans="1:24" ht="51.65" customHeight="1" thickBot="1" x14ac:dyDescent="0.45">
      <c r="A1" s="261" t="s">
        <v>316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</row>
    <row r="2" spans="1:24" ht="53.15" customHeight="1" thickBot="1" x14ac:dyDescent="0.45">
      <c r="A2" s="247" t="s">
        <v>307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</row>
    <row r="4" spans="1:24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263" t="s">
        <v>310</v>
      </c>
      <c r="F4" s="263" t="s">
        <v>309</v>
      </c>
      <c r="G4" s="226" t="s">
        <v>5</v>
      </c>
      <c r="H4" s="226" t="s">
        <v>7</v>
      </c>
      <c r="I4" s="226" t="s">
        <v>21</v>
      </c>
      <c r="J4" s="226" t="s">
        <v>8</v>
      </c>
      <c r="K4" s="228" t="s">
        <v>3</v>
      </c>
      <c r="L4" s="228"/>
      <c r="M4" s="228"/>
      <c r="N4" s="228"/>
      <c r="O4" s="228"/>
      <c r="P4" s="228"/>
      <c r="Q4" s="228" t="s">
        <v>1</v>
      </c>
      <c r="R4" s="228"/>
      <c r="S4" s="228"/>
      <c r="T4" s="228"/>
      <c r="U4" s="226" t="s">
        <v>19</v>
      </c>
      <c r="V4" s="229" t="s">
        <v>308</v>
      </c>
      <c r="W4" s="229" t="s">
        <v>311</v>
      </c>
      <c r="X4" s="226" t="s">
        <v>20</v>
      </c>
    </row>
    <row r="5" spans="1:24" s="71" customFormat="1" ht="88.5" customHeight="1" x14ac:dyDescent="0.5">
      <c r="A5" s="225"/>
      <c r="B5" s="226"/>
      <c r="C5" s="226"/>
      <c r="D5" s="227"/>
      <c r="E5" s="264"/>
      <c r="F5" s="264"/>
      <c r="G5" s="225"/>
      <c r="H5" s="226"/>
      <c r="I5" s="226"/>
      <c r="J5" s="226"/>
      <c r="K5" s="104" t="s">
        <v>9</v>
      </c>
      <c r="L5" s="104" t="s">
        <v>10</v>
      </c>
      <c r="M5" s="104" t="s">
        <v>11</v>
      </c>
      <c r="N5" s="104" t="s">
        <v>12</v>
      </c>
      <c r="O5" s="104" t="s">
        <v>14</v>
      </c>
      <c r="P5" s="104" t="s">
        <v>15</v>
      </c>
      <c r="Q5" s="104" t="s">
        <v>16</v>
      </c>
      <c r="R5" s="104" t="s">
        <v>17</v>
      </c>
      <c r="S5" s="104" t="s">
        <v>18</v>
      </c>
      <c r="T5" s="104" t="s">
        <v>14</v>
      </c>
      <c r="U5" s="226"/>
      <c r="V5" s="230"/>
      <c r="W5" s="230"/>
      <c r="X5" s="226"/>
    </row>
    <row r="6" spans="1:24" ht="45.65" customHeight="1" x14ac:dyDescent="0.55000000000000004">
      <c r="A6" s="105">
        <v>1</v>
      </c>
      <c r="B6" s="106" t="s">
        <v>262</v>
      </c>
      <c r="C6" s="120" t="s">
        <v>97</v>
      </c>
      <c r="D6" s="121"/>
      <c r="E6" s="121" t="s">
        <v>177</v>
      </c>
      <c r="F6" s="121" t="s">
        <v>185</v>
      </c>
      <c r="G6" s="120"/>
      <c r="H6" s="106">
        <v>1000</v>
      </c>
      <c r="I6" s="110">
        <v>26</v>
      </c>
      <c r="J6" s="110">
        <v>0</v>
      </c>
      <c r="K6" s="111">
        <f t="shared" ref="K6:K61" si="0">H6/26*I6</f>
        <v>1000</v>
      </c>
      <c r="L6" s="111">
        <f>K6/26*J6</f>
        <v>0</v>
      </c>
      <c r="M6" s="111">
        <v>0</v>
      </c>
      <c r="N6" s="111">
        <v>0</v>
      </c>
      <c r="O6" s="111">
        <v>0</v>
      </c>
      <c r="P6" s="111">
        <f>K6+L6+M6+N6+O6</f>
        <v>1000</v>
      </c>
      <c r="Q6" s="111">
        <v>0</v>
      </c>
      <c r="R6" s="111">
        <v>0</v>
      </c>
      <c r="S6" s="111">
        <v>0</v>
      </c>
      <c r="T6" s="111">
        <v>0</v>
      </c>
      <c r="U6" s="112">
        <f>P6-Q6-R6-S6-T6</f>
        <v>1000</v>
      </c>
      <c r="V6" s="112">
        <f>U6</f>
        <v>1000</v>
      </c>
      <c r="W6" s="112">
        <f>V6-U6</f>
        <v>0</v>
      </c>
      <c r="X6" s="51"/>
    </row>
    <row r="7" spans="1:24" ht="45.65" customHeight="1" x14ac:dyDescent="0.55000000000000004">
      <c r="A7" s="105">
        <v>2</v>
      </c>
      <c r="B7" s="106" t="s">
        <v>216</v>
      </c>
      <c r="C7" s="122" t="s">
        <v>198</v>
      </c>
      <c r="D7" s="121"/>
      <c r="E7" s="121" t="s">
        <v>177</v>
      </c>
      <c r="F7" s="121" t="s">
        <v>185</v>
      </c>
      <c r="G7" s="122" t="s">
        <v>146</v>
      </c>
      <c r="H7" s="113">
        <v>410</v>
      </c>
      <c r="I7" s="110">
        <v>26</v>
      </c>
      <c r="J7" s="110">
        <v>0</v>
      </c>
      <c r="K7" s="111">
        <f t="shared" si="0"/>
        <v>410</v>
      </c>
      <c r="L7" s="111">
        <v>0</v>
      </c>
      <c r="M7" s="111">
        <v>0</v>
      </c>
      <c r="N7" s="111">
        <v>0</v>
      </c>
      <c r="O7" s="111">
        <v>0</v>
      </c>
      <c r="P7" s="111">
        <f>K7+L7+M7+N7+O7</f>
        <v>410</v>
      </c>
      <c r="Q7" s="111">
        <v>0</v>
      </c>
      <c r="R7" s="111">
        <v>0</v>
      </c>
      <c r="S7" s="111">
        <v>0</v>
      </c>
      <c r="T7" s="151">
        <v>0</v>
      </c>
      <c r="U7" s="112">
        <f>P7-Q7-R7-S7-T7</f>
        <v>410</v>
      </c>
      <c r="V7" s="112">
        <v>800</v>
      </c>
      <c r="W7" s="112">
        <f>V7-U7</f>
        <v>390</v>
      </c>
      <c r="X7" s="52" t="s">
        <v>176</v>
      </c>
    </row>
    <row r="8" spans="1:24" ht="45.65" customHeight="1" x14ac:dyDescent="0.55000000000000004">
      <c r="A8" s="105">
        <v>3</v>
      </c>
      <c r="B8" s="106" t="s">
        <v>263</v>
      </c>
      <c r="C8" s="120" t="s">
        <v>244</v>
      </c>
      <c r="D8" s="121"/>
      <c r="E8" s="121" t="s">
        <v>178</v>
      </c>
      <c r="F8" s="121" t="s">
        <v>186</v>
      </c>
      <c r="G8" s="120"/>
      <c r="H8" s="106">
        <v>150</v>
      </c>
      <c r="I8" s="110">
        <v>26</v>
      </c>
      <c r="J8" s="110">
        <v>0</v>
      </c>
      <c r="K8" s="111">
        <f t="shared" si="0"/>
        <v>150</v>
      </c>
      <c r="L8" s="111">
        <v>0</v>
      </c>
      <c r="M8" s="111">
        <v>0</v>
      </c>
      <c r="N8" s="111">
        <v>0</v>
      </c>
      <c r="O8" s="111">
        <v>0</v>
      </c>
      <c r="P8" s="111">
        <f t="shared" ref="P8:P61" si="1">K8+L8+M8+N8+O8</f>
        <v>150</v>
      </c>
      <c r="Q8" s="111">
        <v>0</v>
      </c>
      <c r="R8" s="111">
        <v>0</v>
      </c>
      <c r="S8" s="111">
        <v>0</v>
      </c>
      <c r="T8" s="111">
        <v>0</v>
      </c>
      <c r="U8" s="112">
        <f>P8-Q8-R8-S8-T8</f>
        <v>150</v>
      </c>
      <c r="V8" s="112">
        <f>U8</f>
        <v>150</v>
      </c>
      <c r="W8" s="112">
        <f t="shared" ref="W8:W61" si="2">V8-U8</f>
        <v>0</v>
      </c>
      <c r="X8" s="51"/>
    </row>
    <row r="9" spans="1:24" ht="45.65" customHeight="1" x14ac:dyDescent="0.55000000000000004">
      <c r="A9" s="105">
        <f>A8+1</f>
        <v>4</v>
      </c>
      <c r="B9" s="106" t="s">
        <v>264</v>
      </c>
      <c r="C9" s="120" t="s">
        <v>245</v>
      </c>
      <c r="D9" s="121"/>
      <c r="E9" s="121" t="s">
        <v>177</v>
      </c>
      <c r="F9" s="121" t="s">
        <v>185</v>
      </c>
      <c r="G9" s="120" t="s">
        <v>147</v>
      </c>
      <c r="H9" s="106">
        <v>255</v>
      </c>
      <c r="I9" s="110">
        <v>26</v>
      </c>
      <c r="J9" s="110">
        <v>0</v>
      </c>
      <c r="K9" s="111">
        <f t="shared" si="0"/>
        <v>255.00000000000003</v>
      </c>
      <c r="L9" s="111">
        <v>0</v>
      </c>
      <c r="M9" s="111">
        <v>0</v>
      </c>
      <c r="N9" s="111">
        <v>0</v>
      </c>
      <c r="O9" s="111">
        <v>0</v>
      </c>
      <c r="P9" s="111">
        <f t="shared" si="1"/>
        <v>255.00000000000003</v>
      </c>
      <c r="Q9" s="111">
        <v>0</v>
      </c>
      <c r="R9" s="111">
        <v>0</v>
      </c>
      <c r="S9" s="111">
        <v>0</v>
      </c>
      <c r="T9" s="111">
        <v>0</v>
      </c>
      <c r="U9" s="112">
        <f t="shared" ref="U9:U52" si="3">P9-Q9-R9-S9-T9</f>
        <v>255.00000000000003</v>
      </c>
      <c r="V9" s="112">
        <f t="shared" ref="V9:V61" si="4">U9</f>
        <v>255.00000000000003</v>
      </c>
      <c r="W9" s="112">
        <f t="shared" si="2"/>
        <v>0</v>
      </c>
      <c r="X9" s="53"/>
    </row>
    <row r="10" spans="1:24" ht="45.65" customHeight="1" x14ac:dyDescent="0.55000000000000004">
      <c r="A10" s="105">
        <f t="shared" ref="A10:A61" si="5">A9+1</f>
        <v>5</v>
      </c>
      <c r="B10" s="106" t="s">
        <v>265</v>
      </c>
      <c r="C10" s="120" t="s">
        <v>246</v>
      </c>
      <c r="D10" s="121"/>
      <c r="E10" s="121" t="s">
        <v>179</v>
      </c>
      <c r="F10" s="121" t="s">
        <v>185</v>
      </c>
      <c r="G10" s="120" t="s">
        <v>148</v>
      </c>
      <c r="H10" s="106">
        <v>150</v>
      </c>
      <c r="I10" s="110">
        <v>26</v>
      </c>
      <c r="J10" s="110">
        <v>0</v>
      </c>
      <c r="K10" s="111">
        <f t="shared" si="0"/>
        <v>150</v>
      </c>
      <c r="L10" s="111">
        <v>0</v>
      </c>
      <c r="M10" s="111">
        <v>0</v>
      </c>
      <c r="N10" s="111">
        <v>0</v>
      </c>
      <c r="O10" s="111">
        <v>0</v>
      </c>
      <c r="P10" s="111">
        <f t="shared" si="1"/>
        <v>150</v>
      </c>
      <c r="Q10" s="111">
        <v>0</v>
      </c>
      <c r="R10" s="111">
        <v>0</v>
      </c>
      <c r="S10" s="111">
        <v>0</v>
      </c>
      <c r="T10" s="111">
        <v>0</v>
      </c>
      <c r="U10" s="112">
        <f t="shared" si="3"/>
        <v>150</v>
      </c>
      <c r="V10" s="112">
        <f t="shared" si="4"/>
        <v>150</v>
      </c>
      <c r="W10" s="112">
        <f t="shared" si="2"/>
        <v>0</v>
      </c>
      <c r="X10" s="53"/>
    </row>
    <row r="11" spans="1:24" ht="45.65" customHeight="1" x14ac:dyDescent="0.55000000000000004">
      <c r="A11" s="105">
        <f t="shared" si="5"/>
        <v>6</v>
      </c>
      <c r="B11" s="106" t="s">
        <v>266</v>
      </c>
      <c r="C11" s="120" t="s">
        <v>101</v>
      </c>
      <c r="D11" s="121"/>
      <c r="E11" s="121" t="s">
        <v>180</v>
      </c>
      <c r="F11" s="121" t="s">
        <v>187</v>
      </c>
      <c r="G11" s="120"/>
      <c r="H11" s="106">
        <v>430</v>
      </c>
      <c r="I11" s="110">
        <v>26</v>
      </c>
      <c r="J11" s="110">
        <v>0</v>
      </c>
      <c r="K11" s="111">
        <f t="shared" si="0"/>
        <v>430.00000000000006</v>
      </c>
      <c r="L11" s="111">
        <v>0</v>
      </c>
      <c r="M11" s="111">
        <v>0</v>
      </c>
      <c r="N11" s="111">
        <v>0</v>
      </c>
      <c r="O11" s="111">
        <v>0</v>
      </c>
      <c r="P11" s="111">
        <f t="shared" si="1"/>
        <v>430.00000000000006</v>
      </c>
      <c r="Q11" s="111">
        <v>0</v>
      </c>
      <c r="R11" s="111">
        <v>0</v>
      </c>
      <c r="S11" s="111">
        <v>0</v>
      </c>
      <c r="T11" s="111">
        <v>0</v>
      </c>
      <c r="U11" s="112">
        <f t="shared" si="3"/>
        <v>430.00000000000006</v>
      </c>
      <c r="V11" s="112">
        <f t="shared" si="4"/>
        <v>430.00000000000006</v>
      </c>
      <c r="W11" s="112">
        <f t="shared" si="2"/>
        <v>0</v>
      </c>
      <c r="X11" s="53"/>
    </row>
    <row r="12" spans="1:24" ht="45.65" customHeight="1" x14ac:dyDescent="0.55000000000000004">
      <c r="A12" s="105">
        <f t="shared" si="5"/>
        <v>7</v>
      </c>
      <c r="B12" s="106" t="s">
        <v>217</v>
      </c>
      <c r="C12" s="120" t="s">
        <v>199</v>
      </c>
      <c r="D12" s="121"/>
      <c r="E12" s="121" t="s">
        <v>177</v>
      </c>
      <c r="F12" s="121" t="s">
        <v>185</v>
      </c>
      <c r="G12" s="120" t="s">
        <v>87</v>
      </c>
      <c r="H12" s="106">
        <v>240</v>
      </c>
      <c r="I12" s="110">
        <v>26</v>
      </c>
      <c r="J12" s="110">
        <v>0</v>
      </c>
      <c r="K12" s="111">
        <f t="shared" si="0"/>
        <v>239.99999999999997</v>
      </c>
      <c r="L12" s="111">
        <v>0</v>
      </c>
      <c r="M12" s="111">
        <v>0</v>
      </c>
      <c r="N12" s="111">
        <v>0</v>
      </c>
      <c r="O12" s="111">
        <v>0</v>
      </c>
      <c r="P12" s="111">
        <f t="shared" si="1"/>
        <v>239.99999999999997</v>
      </c>
      <c r="Q12" s="111">
        <v>0</v>
      </c>
      <c r="R12" s="111">
        <v>0</v>
      </c>
      <c r="S12" s="111">
        <v>50</v>
      </c>
      <c r="T12" s="111">
        <v>0</v>
      </c>
      <c r="U12" s="112">
        <f t="shared" si="3"/>
        <v>189.99999999999997</v>
      </c>
      <c r="V12" s="112">
        <f t="shared" si="4"/>
        <v>189.99999999999997</v>
      </c>
      <c r="W12" s="112">
        <f t="shared" si="2"/>
        <v>0</v>
      </c>
      <c r="X12" s="53"/>
    </row>
    <row r="13" spans="1:24" ht="45.65" customHeight="1" x14ac:dyDescent="0.55000000000000004">
      <c r="A13" s="105">
        <f t="shared" si="5"/>
        <v>8</v>
      </c>
      <c r="B13" s="106" t="s">
        <v>218</v>
      </c>
      <c r="C13" s="120" t="s">
        <v>103</v>
      </c>
      <c r="D13" s="121"/>
      <c r="E13" s="121" t="s">
        <v>177</v>
      </c>
      <c r="F13" s="121" t="s">
        <v>186</v>
      </c>
      <c r="G13" s="120" t="s">
        <v>149</v>
      </c>
      <c r="H13" s="106">
        <v>330</v>
      </c>
      <c r="I13" s="110">
        <v>26</v>
      </c>
      <c r="J13" s="110">
        <v>0</v>
      </c>
      <c r="K13" s="111">
        <f t="shared" si="0"/>
        <v>330</v>
      </c>
      <c r="L13" s="111">
        <v>0</v>
      </c>
      <c r="M13" s="111">
        <v>30</v>
      </c>
      <c r="N13" s="111">
        <v>0</v>
      </c>
      <c r="O13" s="111">
        <v>0</v>
      </c>
      <c r="P13" s="111">
        <f t="shared" si="1"/>
        <v>360</v>
      </c>
      <c r="Q13" s="111">
        <v>0</v>
      </c>
      <c r="R13" s="111">
        <v>0</v>
      </c>
      <c r="S13" s="111">
        <v>0</v>
      </c>
      <c r="T13" s="111">
        <v>0</v>
      </c>
      <c r="U13" s="112">
        <f t="shared" si="3"/>
        <v>360</v>
      </c>
      <c r="V13" s="112">
        <f t="shared" si="4"/>
        <v>360</v>
      </c>
      <c r="W13" s="112">
        <f t="shared" si="2"/>
        <v>0</v>
      </c>
      <c r="X13" s="53"/>
    </row>
    <row r="14" spans="1:24" ht="45.65" customHeight="1" x14ac:dyDescent="0.55000000000000004">
      <c r="A14" s="105">
        <f t="shared" si="5"/>
        <v>9</v>
      </c>
      <c r="B14" s="106" t="s">
        <v>219</v>
      </c>
      <c r="C14" s="120" t="s">
        <v>105</v>
      </c>
      <c r="D14" s="121"/>
      <c r="E14" s="121" t="s">
        <v>177</v>
      </c>
      <c r="F14" s="121" t="s">
        <v>185</v>
      </c>
      <c r="G14" s="120" t="s">
        <v>150</v>
      </c>
      <c r="H14" s="106">
        <v>200</v>
      </c>
      <c r="I14" s="110">
        <v>26</v>
      </c>
      <c r="J14" s="110">
        <v>0</v>
      </c>
      <c r="K14" s="111">
        <f t="shared" si="0"/>
        <v>200</v>
      </c>
      <c r="L14" s="111">
        <v>0</v>
      </c>
      <c r="M14" s="111">
        <v>0</v>
      </c>
      <c r="N14" s="111">
        <v>0</v>
      </c>
      <c r="O14" s="111">
        <v>0</v>
      </c>
      <c r="P14" s="111">
        <f t="shared" si="1"/>
        <v>200</v>
      </c>
      <c r="Q14" s="111">
        <v>0</v>
      </c>
      <c r="R14" s="111">
        <v>0</v>
      </c>
      <c r="S14" s="111">
        <v>0</v>
      </c>
      <c r="T14" s="111">
        <v>0</v>
      </c>
      <c r="U14" s="112">
        <f t="shared" si="3"/>
        <v>200</v>
      </c>
      <c r="V14" s="112">
        <f t="shared" si="4"/>
        <v>200</v>
      </c>
      <c r="W14" s="112">
        <f t="shared" si="2"/>
        <v>0</v>
      </c>
      <c r="X14" s="53"/>
    </row>
    <row r="15" spans="1:24" ht="45.65" customHeight="1" x14ac:dyDescent="0.55000000000000004">
      <c r="A15" s="105">
        <f t="shared" si="5"/>
        <v>10</v>
      </c>
      <c r="B15" s="106" t="s">
        <v>220</v>
      </c>
      <c r="C15" s="120" t="s">
        <v>200</v>
      </c>
      <c r="D15" s="121"/>
      <c r="E15" s="121" t="s">
        <v>177</v>
      </c>
      <c r="F15" s="121" t="s">
        <v>188</v>
      </c>
      <c r="G15" s="120" t="s">
        <v>151</v>
      </c>
      <c r="H15" s="106">
        <v>430</v>
      </c>
      <c r="I15" s="110">
        <v>26</v>
      </c>
      <c r="J15" s="110">
        <v>0</v>
      </c>
      <c r="K15" s="111">
        <f t="shared" si="0"/>
        <v>430.00000000000006</v>
      </c>
      <c r="L15" s="111">
        <v>0</v>
      </c>
      <c r="M15" s="111">
        <v>0</v>
      </c>
      <c r="N15" s="111">
        <v>0</v>
      </c>
      <c r="O15" s="111">
        <v>0</v>
      </c>
      <c r="P15" s="111">
        <f t="shared" si="1"/>
        <v>430.00000000000006</v>
      </c>
      <c r="Q15" s="111">
        <v>0</v>
      </c>
      <c r="R15" s="111">
        <v>0</v>
      </c>
      <c r="S15" s="111">
        <v>0</v>
      </c>
      <c r="T15" s="111">
        <v>0</v>
      </c>
      <c r="U15" s="112">
        <f t="shared" si="3"/>
        <v>430.00000000000006</v>
      </c>
      <c r="V15" s="112">
        <f t="shared" si="4"/>
        <v>430.00000000000006</v>
      </c>
      <c r="W15" s="112">
        <f t="shared" si="2"/>
        <v>0</v>
      </c>
      <c r="X15" s="53"/>
    </row>
    <row r="16" spans="1:24" ht="45.65" customHeight="1" x14ac:dyDescent="0.55000000000000004">
      <c r="A16" s="105">
        <f t="shared" si="5"/>
        <v>11</v>
      </c>
      <c r="B16" s="106" t="s">
        <v>221</v>
      </c>
      <c r="C16" s="120" t="s">
        <v>201</v>
      </c>
      <c r="D16" s="121"/>
      <c r="E16" s="121" t="s">
        <v>177</v>
      </c>
      <c r="F16" s="121" t="s">
        <v>185</v>
      </c>
      <c r="G16" s="120" t="s">
        <v>152</v>
      </c>
      <c r="H16" s="106">
        <v>450</v>
      </c>
      <c r="I16" s="110">
        <v>26</v>
      </c>
      <c r="J16" s="110">
        <v>0</v>
      </c>
      <c r="K16" s="111">
        <f t="shared" si="0"/>
        <v>450</v>
      </c>
      <c r="L16" s="111">
        <v>0</v>
      </c>
      <c r="M16" s="111">
        <v>0</v>
      </c>
      <c r="N16" s="111">
        <v>0</v>
      </c>
      <c r="O16" s="111">
        <v>0</v>
      </c>
      <c r="P16" s="111">
        <f t="shared" si="1"/>
        <v>450</v>
      </c>
      <c r="Q16" s="111">
        <v>0</v>
      </c>
      <c r="R16" s="111">
        <v>0</v>
      </c>
      <c r="S16" s="111">
        <v>50</v>
      </c>
      <c r="T16" s="111">
        <v>0</v>
      </c>
      <c r="U16" s="112">
        <f t="shared" si="3"/>
        <v>400</v>
      </c>
      <c r="V16" s="112">
        <f t="shared" si="4"/>
        <v>400</v>
      </c>
      <c r="W16" s="112">
        <f t="shared" si="2"/>
        <v>0</v>
      </c>
      <c r="X16" s="53"/>
    </row>
    <row r="17" spans="1:24" ht="45.65" customHeight="1" x14ac:dyDescent="0.55000000000000004">
      <c r="A17" s="105">
        <f t="shared" si="5"/>
        <v>12</v>
      </c>
      <c r="B17" s="106" t="s">
        <v>222</v>
      </c>
      <c r="C17" s="120" t="s">
        <v>202</v>
      </c>
      <c r="D17" s="121"/>
      <c r="E17" s="121" t="s">
        <v>178</v>
      </c>
      <c r="F17" s="121" t="s">
        <v>185</v>
      </c>
      <c r="G17" s="120" t="s">
        <v>153</v>
      </c>
      <c r="H17" s="106">
        <v>300</v>
      </c>
      <c r="I17" s="110">
        <v>26</v>
      </c>
      <c r="J17" s="110">
        <v>0</v>
      </c>
      <c r="K17" s="111">
        <f t="shared" si="0"/>
        <v>300</v>
      </c>
      <c r="L17" s="111">
        <v>0</v>
      </c>
      <c r="M17" s="111">
        <v>0</v>
      </c>
      <c r="N17" s="111">
        <v>0</v>
      </c>
      <c r="O17" s="126">
        <v>300</v>
      </c>
      <c r="P17" s="111">
        <f t="shared" si="1"/>
        <v>600</v>
      </c>
      <c r="Q17" s="111">
        <v>0</v>
      </c>
      <c r="R17" s="111">
        <v>0</v>
      </c>
      <c r="S17" s="111">
        <v>0</v>
      </c>
      <c r="T17" s="111">
        <v>0</v>
      </c>
      <c r="U17" s="112">
        <f t="shared" si="3"/>
        <v>600</v>
      </c>
      <c r="V17" s="112">
        <f t="shared" si="4"/>
        <v>600</v>
      </c>
      <c r="W17" s="112">
        <f t="shared" si="2"/>
        <v>0</v>
      </c>
      <c r="X17" s="53"/>
    </row>
    <row r="18" spans="1:24" ht="45.65" customHeight="1" x14ac:dyDescent="0.55000000000000004">
      <c r="A18" s="105">
        <f t="shared" si="5"/>
        <v>13</v>
      </c>
      <c r="B18" s="106" t="s">
        <v>223</v>
      </c>
      <c r="C18" s="120" t="s">
        <v>109</v>
      </c>
      <c r="D18" s="121"/>
      <c r="E18" s="121" t="s">
        <v>181</v>
      </c>
      <c r="F18" s="121" t="s">
        <v>185</v>
      </c>
      <c r="G18" s="120" t="s">
        <v>154</v>
      </c>
      <c r="H18" s="106">
        <v>300</v>
      </c>
      <c r="I18" s="110">
        <v>26</v>
      </c>
      <c r="J18" s="110">
        <v>0</v>
      </c>
      <c r="K18" s="111">
        <f t="shared" si="0"/>
        <v>300</v>
      </c>
      <c r="L18" s="111">
        <v>0</v>
      </c>
      <c r="M18" s="111">
        <v>0</v>
      </c>
      <c r="N18" s="111">
        <v>0</v>
      </c>
      <c r="O18" s="111">
        <v>0</v>
      </c>
      <c r="P18" s="111">
        <f t="shared" si="1"/>
        <v>300</v>
      </c>
      <c r="Q18" s="111">
        <v>0</v>
      </c>
      <c r="R18" s="111">
        <v>0</v>
      </c>
      <c r="S18" s="111">
        <v>0</v>
      </c>
      <c r="T18" s="111">
        <v>0</v>
      </c>
      <c r="U18" s="112">
        <f t="shared" si="3"/>
        <v>300</v>
      </c>
      <c r="V18" s="112">
        <f t="shared" si="4"/>
        <v>300</v>
      </c>
      <c r="W18" s="112">
        <f t="shared" si="2"/>
        <v>0</v>
      </c>
      <c r="X18" s="53"/>
    </row>
    <row r="19" spans="1:24" ht="45.65" customHeight="1" x14ac:dyDescent="0.55000000000000004">
      <c r="A19" s="105">
        <f t="shared" si="5"/>
        <v>14</v>
      </c>
      <c r="B19" s="106" t="s">
        <v>224</v>
      </c>
      <c r="C19" s="120" t="s">
        <v>204</v>
      </c>
      <c r="D19" s="121"/>
      <c r="E19" s="121" t="s">
        <v>181</v>
      </c>
      <c r="F19" s="121" t="s">
        <v>185</v>
      </c>
      <c r="G19" s="120"/>
      <c r="H19" s="106">
        <v>250</v>
      </c>
      <c r="I19" s="110">
        <v>26</v>
      </c>
      <c r="J19" s="110">
        <v>0</v>
      </c>
      <c r="K19" s="111">
        <f t="shared" si="0"/>
        <v>250</v>
      </c>
      <c r="L19" s="111">
        <v>0</v>
      </c>
      <c r="M19" s="111">
        <v>0</v>
      </c>
      <c r="N19" s="111">
        <v>0</v>
      </c>
      <c r="O19" s="111">
        <v>0</v>
      </c>
      <c r="P19" s="111">
        <f t="shared" si="1"/>
        <v>250</v>
      </c>
      <c r="Q19" s="111">
        <v>0</v>
      </c>
      <c r="R19" s="111">
        <v>0</v>
      </c>
      <c r="S19" s="111">
        <v>0</v>
      </c>
      <c r="T19" s="111">
        <v>0</v>
      </c>
      <c r="U19" s="112">
        <f t="shared" si="3"/>
        <v>250</v>
      </c>
      <c r="V19" s="112">
        <f t="shared" si="4"/>
        <v>250</v>
      </c>
      <c r="W19" s="112">
        <f t="shared" si="2"/>
        <v>0</v>
      </c>
      <c r="X19" s="53"/>
    </row>
    <row r="20" spans="1:24" ht="45.65" customHeight="1" x14ac:dyDescent="0.55000000000000004">
      <c r="A20" s="105">
        <f t="shared" si="5"/>
        <v>15</v>
      </c>
      <c r="B20" s="106" t="s">
        <v>268</v>
      </c>
      <c r="C20" s="120" t="s">
        <v>111</v>
      </c>
      <c r="D20" s="121"/>
      <c r="E20" s="121" t="s">
        <v>182</v>
      </c>
      <c r="F20" s="121" t="s">
        <v>185</v>
      </c>
      <c r="G20" s="120"/>
      <c r="H20" s="106">
        <v>100</v>
      </c>
      <c r="I20" s="110">
        <v>26</v>
      </c>
      <c r="J20" s="110">
        <v>0</v>
      </c>
      <c r="K20" s="111">
        <f t="shared" si="0"/>
        <v>100</v>
      </c>
      <c r="L20" s="111">
        <v>0</v>
      </c>
      <c r="M20" s="111">
        <v>0</v>
      </c>
      <c r="N20" s="111">
        <v>0</v>
      </c>
      <c r="O20" s="111">
        <v>0</v>
      </c>
      <c r="P20" s="111">
        <f t="shared" si="1"/>
        <v>100</v>
      </c>
      <c r="Q20" s="111">
        <v>0</v>
      </c>
      <c r="R20" s="111">
        <v>0</v>
      </c>
      <c r="S20" s="111">
        <v>0</v>
      </c>
      <c r="T20" s="111">
        <v>0</v>
      </c>
      <c r="U20" s="112">
        <f t="shared" si="3"/>
        <v>100</v>
      </c>
      <c r="V20" s="112">
        <f t="shared" si="4"/>
        <v>100</v>
      </c>
      <c r="W20" s="112">
        <f t="shared" si="2"/>
        <v>0</v>
      </c>
      <c r="X20" s="53"/>
    </row>
    <row r="21" spans="1:24" ht="45.65" customHeight="1" x14ac:dyDescent="0.55000000000000004">
      <c r="A21" s="105">
        <f t="shared" si="5"/>
        <v>16</v>
      </c>
      <c r="B21" s="106" t="s">
        <v>269</v>
      </c>
      <c r="C21" s="120" t="s">
        <v>112</v>
      </c>
      <c r="D21" s="121"/>
      <c r="E21" s="121" t="s">
        <v>177</v>
      </c>
      <c r="F21" s="121" t="s">
        <v>189</v>
      </c>
      <c r="G21" s="120" t="s">
        <v>155</v>
      </c>
      <c r="H21" s="106">
        <v>450</v>
      </c>
      <c r="I21" s="110">
        <v>26</v>
      </c>
      <c r="J21" s="110">
        <v>0</v>
      </c>
      <c r="K21" s="111">
        <f t="shared" si="0"/>
        <v>450</v>
      </c>
      <c r="L21" s="111">
        <v>0</v>
      </c>
      <c r="M21" s="111">
        <v>0</v>
      </c>
      <c r="N21" s="111">
        <v>0</v>
      </c>
      <c r="O21" s="111">
        <v>0</v>
      </c>
      <c r="P21" s="111">
        <f t="shared" si="1"/>
        <v>450</v>
      </c>
      <c r="Q21" s="111">
        <v>0</v>
      </c>
      <c r="R21" s="111">
        <v>0</v>
      </c>
      <c r="S21" s="111">
        <v>50</v>
      </c>
      <c r="T21" s="111">
        <v>0</v>
      </c>
      <c r="U21" s="112">
        <f t="shared" si="3"/>
        <v>400</v>
      </c>
      <c r="V21" s="112">
        <f t="shared" si="4"/>
        <v>400</v>
      </c>
      <c r="W21" s="112">
        <f t="shared" si="2"/>
        <v>0</v>
      </c>
      <c r="X21" s="53"/>
    </row>
    <row r="22" spans="1:24" ht="45.65" customHeight="1" x14ac:dyDescent="0.55000000000000004">
      <c r="A22" s="105">
        <f t="shared" si="5"/>
        <v>17</v>
      </c>
      <c r="B22" s="106" t="s">
        <v>270</v>
      </c>
      <c r="C22" s="120" t="s">
        <v>114</v>
      </c>
      <c r="D22" s="121"/>
      <c r="E22" s="121" t="s">
        <v>180</v>
      </c>
      <c r="F22" s="121" t="s">
        <v>185</v>
      </c>
      <c r="G22" s="120" t="s">
        <v>157</v>
      </c>
      <c r="H22" s="106">
        <v>50</v>
      </c>
      <c r="I22" s="184">
        <v>26</v>
      </c>
      <c r="J22" s="110">
        <v>0</v>
      </c>
      <c r="K22" s="111">
        <f t="shared" si="0"/>
        <v>50</v>
      </c>
      <c r="L22" s="111">
        <v>0</v>
      </c>
      <c r="M22" s="153">
        <v>0</v>
      </c>
      <c r="N22" s="153">
        <v>0</v>
      </c>
      <c r="O22" s="153">
        <v>0</v>
      </c>
      <c r="P22" s="111">
        <f t="shared" si="1"/>
        <v>50</v>
      </c>
      <c r="Q22" s="153">
        <v>0</v>
      </c>
      <c r="R22" s="111">
        <v>0</v>
      </c>
      <c r="S22" s="153">
        <v>0</v>
      </c>
      <c r="T22" s="153">
        <v>0</v>
      </c>
      <c r="U22" s="185">
        <f t="shared" si="3"/>
        <v>50</v>
      </c>
      <c r="V22" s="112">
        <f t="shared" si="4"/>
        <v>50</v>
      </c>
      <c r="W22" s="112">
        <f t="shared" si="2"/>
        <v>0</v>
      </c>
      <c r="X22" s="187"/>
    </row>
    <row r="23" spans="1:24" ht="45.65" customHeight="1" x14ac:dyDescent="0.55000000000000004">
      <c r="A23" s="105">
        <f t="shared" si="5"/>
        <v>18</v>
      </c>
      <c r="B23" s="106" t="s">
        <v>272</v>
      </c>
      <c r="C23" s="120" t="s">
        <v>115</v>
      </c>
      <c r="D23" s="121"/>
      <c r="E23" s="121" t="s">
        <v>180</v>
      </c>
      <c r="F23" s="121" t="s">
        <v>185</v>
      </c>
      <c r="G23" s="120" t="s">
        <v>158</v>
      </c>
      <c r="H23" s="106">
        <v>150</v>
      </c>
      <c r="I23" s="110">
        <v>26</v>
      </c>
      <c r="J23" s="110">
        <v>0</v>
      </c>
      <c r="K23" s="111">
        <f t="shared" si="0"/>
        <v>150</v>
      </c>
      <c r="L23" s="111">
        <v>0</v>
      </c>
      <c r="M23" s="111">
        <v>0</v>
      </c>
      <c r="N23" s="111">
        <v>0</v>
      </c>
      <c r="O23" s="111">
        <v>0</v>
      </c>
      <c r="P23" s="111">
        <f t="shared" si="1"/>
        <v>150</v>
      </c>
      <c r="Q23" s="111">
        <v>0</v>
      </c>
      <c r="R23" s="111">
        <v>8.65</v>
      </c>
      <c r="S23" s="111">
        <v>0</v>
      </c>
      <c r="T23" s="111">
        <v>0</v>
      </c>
      <c r="U23" s="112">
        <f t="shared" si="3"/>
        <v>141.35</v>
      </c>
      <c r="V23" s="112">
        <f t="shared" si="4"/>
        <v>141.35</v>
      </c>
      <c r="W23" s="112">
        <f t="shared" si="2"/>
        <v>0</v>
      </c>
      <c r="X23" s="53"/>
    </row>
    <row r="24" spans="1:24" ht="45.65" customHeight="1" x14ac:dyDescent="0.55000000000000004">
      <c r="A24" s="105">
        <f t="shared" si="5"/>
        <v>19</v>
      </c>
      <c r="B24" s="106" t="s">
        <v>226</v>
      </c>
      <c r="C24" s="120" t="s">
        <v>206</v>
      </c>
      <c r="D24" s="121"/>
      <c r="E24" s="121" t="s">
        <v>183</v>
      </c>
      <c r="F24" s="121" t="s">
        <v>185</v>
      </c>
      <c r="G24" s="120"/>
      <c r="H24" s="106">
        <v>170</v>
      </c>
      <c r="I24" s="110">
        <v>26</v>
      </c>
      <c r="J24" s="110">
        <v>0</v>
      </c>
      <c r="K24" s="111">
        <f t="shared" si="0"/>
        <v>170</v>
      </c>
      <c r="L24" s="111">
        <v>0</v>
      </c>
      <c r="M24" s="111">
        <v>0</v>
      </c>
      <c r="N24" s="111">
        <v>0</v>
      </c>
      <c r="O24" s="111">
        <v>0</v>
      </c>
      <c r="P24" s="111">
        <f t="shared" si="1"/>
        <v>170</v>
      </c>
      <c r="Q24" s="111">
        <v>0</v>
      </c>
      <c r="R24" s="111">
        <v>0</v>
      </c>
      <c r="S24" s="111">
        <v>0</v>
      </c>
      <c r="T24" s="111">
        <v>0</v>
      </c>
      <c r="U24" s="112">
        <f t="shared" si="3"/>
        <v>170</v>
      </c>
      <c r="V24" s="112">
        <f t="shared" si="4"/>
        <v>170</v>
      </c>
      <c r="W24" s="112">
        <f t="shared" si="2"/>
        <v>0</v>
      </c>
      <c r="X24" s="53"/>
    </row>
    <row r="25" spans="1:24" ht="45.65" customHeight="1" x14ac:dyDescent="0.55000000000000004">
      <c r="A25" s="105">
        <f t="shared" si="5"/>
        <v>20</v>
      </c>
      <c r="B25" s="106" t="s">
        <v>227</v>
      </c>
      <c r="C25" s="120" t="s">
        <v>207</v>
      </c>
      <c r="D25" s="121"/>
      <c r="E25" s="121" t="s">
        <v>183</v>
      </c>
      <c r="F25" s="121" t="s">
        <v>185</v>
      </c>
      <c r="G25" s="120"/>
      <c r="H25" s="106">
        <v>150</v>
      </c>
      <c r="I25" s="110">
        <v>26</v>
      </c>
      <c r="J25" s="110">
        <v>0</v>
      </c>
      <c r="K25" s="111">
        <f t="shared" si="0"/>
        <v>150</v>
      </c>
      <c r="L25" s="111">
        <v>0</v>
      </c>
      <c r="M25" s="111">
        <v>0</v>
      </c>
      <c r="N25" s="111">
        <v>0</v>
      </c>
      <c r="O25" s="111">
        <v>0</v>
      </c>
      <c r="P25" s="111">
        <f t="shared" si="1"/>
        <v>150</v>
      </c>
      <c r="Q25" s="111">
        <v>0</v>
      </c>
      <c r="R25" s="111">
        <v>0</v>
      </c>
      <c r="S25" s="111">
        <v>0</v>
      </c>
      <c r="T25" s="111">
        <v>0</v>
      </c>
      <c r="U25" s="112">
        <f t="shared" si="3"/>
        <v>150</v>
      </c>
      <c r="V25" s="112">
        <f t="shared" si="4"/>
        <v>150</v>
      </c>
      <c r="W25" s="112">
        <f t="shared" si="2"/>
        <v>0</v>
      </c>
      <c r="X25" s="53"/>
    </row>
    <row r="26" spans="1:24" ht="45.65" customHeight="1" x14ac:dyDescent="0.55000000000000004">
      <c r="A26" s="105">
        <f t="shared" si="5"/>
        <v>21</v>
      </c>
      <c r="B26" s="106" t="s">
        <v>306</v>
      </c>
      <c r="C26" s="120" t="s">
        <v>300</v>
      </c>
      <c r="D26" s="121"/>
      <c r="E26" s="121" t="s">
        <v>181</v>
      </c>
      <c r="F26" s="121" t="s">
        <v>185</v>
      </c>
      <c r="G26" s="120"/>
      <c r="H26" s="106">
        <v>100</v>
      </c>
      <c r="I26" s="110">
        <v>26</v>
      </c>
      <c r="J26" s="110">
        <v>0</v>
      </c>
      <c r="K26" s="111">
        <f t="shared" si="0"/>
        <v>100</v>
      </c>
      <c r="L26" s="111">
        <v>0</v>
      </c>
      <c r="M26" s="111">
        <v>0</v>
      </c>
      <c r="N26" s="111">
        <v>0</v>
      </c>
      <c r="O26" s="111">
        <v>0</v>
      </c>
      <c r="P26" s="111">
        <f t="shared" si="1"/>
        <v>100</v>
      </c>
      <c r="Q26" s="111">
        <v>0</v>
      </c>
      <c r="R26" s="111">
        <v>0</v>
      </c>
      <c r="S26" s="111">
        <v>0</v>
      </c>
      <c r="T26" s="111">
        <v>0</v>
      </c>
      <c r="U26" s="112">
        <f t="shared" si="3"/>
        <v>100</v>
      </c>
      <c r="V26" s="112">
        <f t="shared" si="4"/>
        <v>100</v>
      </c>
      <c r="W26" s="112">
        <f t="shared" si="2"/>
        <v>0</v>
      </c>
      <c r="X26" s="53"/>
    </row>
    <row r="27" spans="1:24" ht="45.65" customHeight="1" x14ac:dyDescent="0.55000000000000004">
      <c r="A27" s="105">
        <f t="shared" si="5"/>
        <v>22</v>
      </c>
      <c r="B27" s="106" t="s">
        <v>274</v>
      </c>
      <c r="C27" s="120" t="s">
        <v>119</v>
      </c>
      <c r="D27" s="121"/>
      <c r="E27" s="121" t="s">
        <v>183</v>
      </c>
      <c r="F27" s="121" t="s">
        <v>185</v>
      </c>
      <c r="G27" s="120" t="s">
        <v>93</v>
      </c>
      <c r="H27" s="106">
        <v>80</v>
      </c>
      <c r="I27" s="110">
        <v>26</v>
      </c>
      <c r="J27" s="110">
        <v>0</v>
      </c>
      <c r="K27" s="111">
        <f t="shared" si="0"/>
        <v>80</v>
      </c>
      <c r="L27" s="111">
        <v>0</v>
      </c>
      <c r="M27" s="111">
        <v>0</v>
      </c>
      <c r="N27" s="111">
        <v>0</v>
      </c>
      <c r="O27" s="111">
        <v>0</v>
      </c>
      <c r="P27" s="111">
        <f t="shared" si="1"/>
        <v>80</v>
      </c>
      <c r="Q27" s="111">
        <v>0</v>
      </c>
      <c r="R27" s="111">
        <v>0</v>
      </c>
      <c r="S27" s="111">
        <v>0</v>
      </c>
      <c r="T27" s="111">
        <v>0</v>
      </c>
      <c r="U27" s="112">
        <f t="shared" si="3"/>
        <v>80</v>
      </c>
      <c r="V27" s="112">
        <f t="shared" si="4"/>
        <v>80</v>
      </c>
      <c r="W27" s="112">
        <f t="shared" si="2"/>
        <v>0</v>
      </c>
      <c r="X27" s="53"/>
    </row>
    <row r="28" spans="1:24" ht="45.65" customHeight="1" x14ac:dyDescent="0.55000000000000004">
      <c r="A28" s="105">
        <f t="shared" si="5"/>
        <v>23</v>
      </c>
      <c r="B28" s="106" t="s">
        <v>275</v>
      </c>
      <c r="C28" s="120" t="s">
        <v>120</v>
      </c>
      <c r="D28" s="121"/>
      <c r="E28" s="121" t="s">
        <v>177</v>
      </c>
      <c r="F28" s="121" t="s">
        <v>190</v>
      </c>
      <c r="G28" s="120"/>
      <c r="H28" s="106">
        <v>150</v>
      </c>
      <c r="I28" s="110">
        <v>26</v>
      </c>
      <c r="J28" s="110">
        <v>0</v>
      </c>
      <c r="K28" s="111">
        <f t="shared" si="0"/>
        <v>150</v>
      </c>
      <c r="L28" s="111">
        <v>0</v>
      </c>
      <c r="M28" s="111">
        <v>0</v>
      </c>
      <c r="N28" s="111">
        <v>0</v>
      </c>
      <c r="O28" s="111">
        <v>0</v>
      </c>
      <c r="P28" s="111">
        <f t="shared" si="1"/>
        <v>150</v>
      </c>
      <c r="Q28" s="111">
        <v>0</v>
      </c>
      <c r="R28" s="111">
        <v>0</v>
      </c>
      <c r="S28" s="111">
        <v>0</v>
      </c>
      <c r="T28" s="111">
        <v>0</v>
      </c>
      <c r="U28" s="112">
        <f t="shared" si="3"/>
        <v>150</v>
      </c>
      <c r="V28" s="112">
        <f t="shared" si="4"/>
        <v>150</v>
      </c>
      <c r="W28" s="112">
        <f t="shared" si="2"/>
        <v>0</v>
      </c>
      <c r="X28" s="53"/>
    </row>
    <row r="29" spans="1:24" ht="45.65" customHeight="1" x14ac:dyDescent="0.55000000000000004">
      <c r="A29" s="105">
        <f t="shared" si="5"/>
        <v>24</v>
      </c>
      <c r="B29" s="106" t="s">
        <v>228</v>
      </c>
      <c r="C29" s="120" t="s">
        <v>208</v>
      </c>
      <c r="D29" s="121"/>
      <c r="E29" s="121" t="s">
        <v>183</v>
      </c>
      <c r="F29" s="121" t="s">
        <v>189</v>
      </c>
      <c r="G29" s="120"/>
      <c r="H29" s="106">
        <v>150</v>
      </c>
      <c r="I29" s="110">
        <v>26</v>
      </c>
      <c r="J29" s="110">
        <v>0</v>
      </c>
      <c r="K29" s="111">
        <f t="shared" si="0"/>
        <v>150</v>
      </c>
      <c r="L29" s="111">
        <v>0</v>
      </c>
      <c r="M29" s="111">
        <v>0</v>
      </c>
      <c r="N29" s="111">
        <v>0</v>
      </c>
      <c r="O29" s="111">
        <v>0</v>
      </c>
      <c r="P29" s="111">
        <f t="shared" si="1"/>
        <v>150</v>
      </c>
      <c r="Q29" s="111">
        <v>0</v>
      </c>
      <c r="R29" s="111">
        <v>0</v>
      </c>
      <c r="S29" s="111">
        <v>0</v>
      </c>
      <c r="T29" s="111">
        <v>0</v>
      </c>
      <c r="U29" s="112">
        <f t="shared" si="3"/>
        <v>150</v>
      </c>
      <c r="V29" s="112">
        <f t="shared" si="4"/>
        <v>150</v>
      </c>
      <c r="W29" s="112">
        <f t="shared" si="2"/>
        <v>0</v>
      </c>
      <c r="X29" s="53"/>
    </row>
    <row r="30" spans="1:24" ht="45.65" customHeight="1" x14ac:dyDescent="0.55000000000000004">
      <c r="A30" s="105">
        <f t="shared" si="5"/>
        <v>25</v>
      </c>
      <c r="B30" s="106" t="s">
        <v>276</v>
      </c>
      <c r="C30" s="120" t="s">
        <v>122</v>
      </c>
      <c r="D30" s="121"/>
      <c r="E30" s="121" t="s">
        <v>181</v>
      </c>
      <c r="F30" s="121" t="s">
        <v>189</v>
      </c>
      <c r="G30" s="120"/>
      <c r="H30" s="106">
        <v>200</v>
      </c>
      <c r="I30" s="110">
        <v>26</v>
      </c>
      <c r="J30" s="110">
        <v>0</v>
      </c>
      <c r="K30" s="111">
        <f t="shared" si="0"/>
        <v>200</v>
      </c>
      <c r="L30" s="111">
        <v>0</v>
      </c>
      <c r="M30" s="111">
        <v>0</v>
      </c>
      <c r="N30" s="111">
        <v>0</v>
      </c>
      <c r="O30" s="111">
        <v>0</v>
      </c>
      <c r="P30" s="111">
        <f t="shared" si="1"/>
        <v>200</v>
      </c>
      <c r="Q30" s="111">
        <v>0</v>
      </c>
      <c r="R30" s="111">
        <v>0</v>
      </c>
      <c r="S30" s="111">
        <v>0</v>
      </c>
      <c r="T30" s="111">
        <v>0</v>
      </c>
      <c r="U30" s="112">
        <f t="shared" si="3"/>
        <v>200</v>
      </c>
      <c r="V30" s="112">
        <f t="shared" si="4"/>
        <v>200</v>
      </c>
      <c r="W30" s="112">
        <f t="shared" si="2"/>
        <v>0</v>
      </c>
      <c r="X30" s="53"/>
    </row>
    <row r="31" spans="1:24" ht="45.65" customHeight="1" x14ac:dyDescent="0.55000000000000004">
      <c r="A31" s="105">
        <f t="shared" si="5"/>
        <v>26</v>
      </c>
      <c r="B31" s="106" t="s">
        <v>277</v>
      </c>
      <c r="C31" s="120" t="s">
        <v>123</v>
      </c>
      <c r="D31" s="121"/>
      <c r="E31" s="121" t="s">
        <v>181</v>
      </c>
      <c r="F31" s="121" t="s">
        <v>185</v>
      </c>
      <c r="G31" s="120"/>
      <c r="H31" s="106">
        <v>250</v>
      </c>
      <c r="I31" s="110">
        <v>26</v>
      </c>
      <c r="J31" s="110">
        <v>0</v>
      </c>
      <c r="K31" s="111">
        <f t="shared" si="0"/>
        <v>250</v>
      </c>
      <c r="L31" s="111">
        <v>0</v>
      </c>
      <c r="M31" s="111">
        <v>0</v>
      </c>
      <c r="N31" s="111">
        <v>0</v>
      </c>
      <c r="O31" s="111">
        <v>0</v>
      </c>
      <c r="P31" s="111">
        <f t="shared" si="1"/>
        <v>250</v>
      </c>
      <c r="Q31" s="111">
        <v>0</v>
      </c>
      <c r="R31" s="111">
        <v>0</v>
      </c>
      <c r="S31" s="111">
        <v>0</v>
      </c>
      <c r="T31" s="111">
        <v>0</v>
      </c>
      <c r="U31" s="112">
        <f t="shared" si="3"/>
        <v>250</v>
      </c>
      <c r="V31" s="112">
        <f t="shared" si="4"/>
        <v>250</v>
      </c>
      <c r="W31" s="112">
        <f t="shared" si="2"/>
        <v>0</v>
      </c>
      <c r="X31" s="53"/>
    </row>
    <row r="32" spans="1:24" ht="45.65" customHeight="1" x14ac:dyDescent="0.55000000000000004">
      <c r="A32" s="105">
        <f t="shared" si="5"/>
        <v>27</v>
      </c>
      <c r="B32" s="106" t="s">
        <v>230</v>
      </c>
      <c r="C32" s="120" t="s">
        <v>125</v>
      </c>
      <c r="D32" s="121"/>
      <c r="E32" s="121" t="s">
        <v>177</v>
      </c>
      <c r="F32" s="121" t="s">
        <v>185</v>
      </c>
      <c r="G32" s="120" t="s">
        <v>160</v>
      </c>
      <c r="H32" s="106">
        <v>270</v>
      </c>
      <c r="I32" s="110">
        <v>26</v>
      </c>
      <c r="J32" s="110">
        <v>0</v>
      </c>
      <c r="K32" s="111">
        <f t="shared" si="0"/>
        <v>270</v>
      </c>
      <c r="L32" s="111">
        <v>0</v>
      </c>
      <c r="M32" s="111">
        <v>0</v>
      </c>
      <c r="N32" s="111">
        <v>0</v>
      </c>
      <c r="O32" s="111">
        <v>0</v>
      </c>
      <c r="P32" s="111">
        <f t="shared" si="1"/>
        <v>270</v>
      </c>
      <c r="Q32" s="111">
        <v>0</v>
      </c>
      <c r="R32" s="111">
        <v>124.62</v>
      </c>
      <c r="S32" s="111">
        <v>0</v>
      </c>
      <c r="T32" s="111">
        <v>0</v>
      </c>
      <c r="U32" s="112">
        <f t="shared" si="3"/>
        <v>145.38</v>
      </c>
      <c r="V32" s="112">
        <f t="shared" si="4"/>
        <v>145.38</v>
      </c>
      <c r="W32" s="112">
        <f t="shared" si="2"/>
        <v>0</v>
      </c>
      <c r="X32" s="53"/>
    </row>
    <row r="33" spans="1:24" ht="45.65" customHeight="1" x14ac:dyDescent="0.55000000000000004">
      <c r="A33" s="105">
        <f t="shared" si="5"/>
        <v>28</v>
      </c>
      <c r="B33" s="106" t="s">
        <v>278</v>
      </c>
      <c r="C33" s="120" t="s">
        <v>247</v>
      </c>
      <c r="D33" s="121"/>
      <c r="E33" s="121" t="s">
        <v>178</v>
      </c>
      <c r="F33" s="121" t="s">
        <v>185</v>
      </c>
      <c r="G33" s="120"/>
      <c r="H33" s="106">
        <v>280</v>
      </c>
      <c r="I33" s="110">
        <v>26</v>
      </c>
      <c r="J33" s="110">
        <v>0</v>
      </c>
      <c r="K33" s="111">
        <f t="shared" si="0"/>
        <v>280</v>
      </c>
      <c r="L33" s="111">
        <v>0</v>
      </c>
      <c r="M33" s="111">
        <v>30</v>
      </c>
      <c r="N33" s="111">
        <v>0</v>
      </c>
      <c r="O33" s="111">
        <v>0</v>
      </c>
      <c r="P33" s="111">
        <f t="shared" si="1"/>
        <v>310</v>
      </c>
      <c r="Q33" s="111">
        <v>0</v>
      </c>
      <c r="R33" s="111">
        <v>0</v>
      </c>
      <c r="S33" s="111">
        <v>0</v>
      </c>
      <c r="T33" s="111">
        <v>0</v>
      </c>
      <c r="U33" s="112">
        <f t="shared" si="3"/>
        <v>310</v>
      </c>
      <c r="V33" s="112">
        <f t="shared" si="4"/>
        <v>310</v>
      </c>
      <c r="W33" s="112">
        <f t="shared" si="2"/>
        <v>0</v>
      </c>
      <c r="X33" s="53"/>
    </row>
    <row r="34" spans="1:24" ht="45.65" customHeight="1" x14ac:dyDescent="0.55000000000000004">
      <c r="A34" s="105">
        <f t="shared" si="5"/>
        <v>29</v>
      </c>
      <c r="B34" s="106" t="s">
        <v>231</v>
      </c>
      <c r="C34" s="120" t="s">
        <v>211</v>
      </c>
      <c r="D34" s="121"/>
      <c r="E34" s="121" t="s">
        <v>177</v>
      </c>
      <c r="F34" s="121" t="s">
        <v>185</v>
      </c>
      <c r="G34" s="120"/>
      <c r="H34" s="106">
        <v>400</v>
      </c>
      <c r="I34" s="110">
        <v>26</v>
      </c>
      <c r="J34" s="110">
        <v>0</v>
      </c>
      <c r="K34" s="111">
        <f t="shared" si="0"/>
        <v>400</v>
      </c>
      <c r="L34" s="111">
        <v>0</v>
      </c>
      <c r="M34" s="111">
        <v>0</v>
      </c>
      <c r="N34" s="111">
        <v>0</v>
      </c>
      <c r="O34" s="111">
        <v>0</v>
      </c>
      <c r="P34" s="111">
        <f t="shared" si="1"/>
        <v>400</v>
      </c>
      <c r="Q34" s="111">
        <v>0</v>
      </c>
      <c r="R34" s="111">
        <v>0</v>
      </c>
      <c r="S34" s="111">
        <v>0</v>
      </c>
      <c r="T34" s="151">
        <v>0</v>
      </c>
      <c r="U34" s="112">
        <f t="shared" si="3"/>
        <v>400</v>
      </c>
      <c r="V34" s="112">
        <v>800</v>
      </c>
      <c r="W34" s="112">
        <f t="shared" si="2"/>
        <v>400</v>
      </c>
      <c r="X34" s="53" t="s">
        <v>176</v>
      </c>
    </row>
    <row r="35" spans="1:24" ht="45.65" customHeight="1" x14ac:dyDescent="0.55000000000000004">
      <c r="A35" s="105">
        <f t="shared" si="5"/>
        <v>30</v>
      </c>
      <c r="B35" s="106" t="s">
        <v>232</v>
      </c>
      <c r="C35" s="120" t="s">
        <v>248</v>
      </c>
      <c r="D35" s="121"/>
      <c r="E35" s="121" t="s">
        <v>177</v>
      </c>
      <c r="F35" s="121" t="s">
        <v>191</v>
      </c>
      <c r="G35" s="120" t="s">
        <v>162</v>
      </c>
      <c r="H35" s="106">
        <v>450</v>
      </c>
      <c r="I35" s="184">
        <v>26</v>
      </c>
      <c r="J35" s="110">
        <v>0</v>
      </c>
      <c r="K35" s="111">
        <f t="shared" si="0"/>
        <v>450</v>
      </c>
      <c r="L35" s="111">
        <v>0</v>
      </c>
      <c r="M35" s="153">
        <v>0</v>
      </c>
      <c r="N35" s="153">
        <v>0</v>
      </c>
      <c r="O35" s="153">
        <v>0</v>
      </c>
      <c r="P35" s="111">
        <f t="shared" si="1"/>
        <v>450</v>
      </c>
      <c r="Q35" s="153">
        <v>0</v>
      </c>
      <c r="R35" s="111">
        <v>0</v>
      </c>
      <c r="S35" s="153">
        <v>0</v>
      </c>
      <c r="T35" s="151">
        <v>0</v>
      </c>
      <c r="U35" s="185">
        <f t="shared" si="3"/>
        <v>450</v>
      </c>
      <c r="V35" s="112">
        <v>600</v>
      </c>
      <c r="W35" s="112">
        <f t="shared" si="2"/>
        <v>150</v>
      </c>
      <c r="X35" s="53" t="s">
        <v>176</v>
      </c>
    </row>
    <row r="36" spans="1:24" ht="45.65" customHeight="1" x14ac:dyDescent="0.55000000000000004">
      <c r="A36" s="105">
        <f t="shared" si="5"/>
        <v>31</v>
      </c>
      <c r="B36" s="106" t="s">
        <v>233</v>
      </c>
      <c r="C36" s="120" t="s">
        <v>130</v>
      </c>
      <c r="D36" s="121"/>
      <c r="E36" s="121" t="s">
        <v>177</v>
      </c>
      <c r="F36" s="121" t="s">
        <v>191</v>
      </c>
      <c r="G36" s="120" t="s">
        <v>172</v>
      </c>
      <c r="H36" s="106">
        <v>550</v>
      </c>
      <c r="I36" s="110">
        <v>26</v>
      </c>
      <c r="J36" s="110">
        <v>0</v>
      </c>
      <c r="K36" s="111">
        <f t="shared" si="0"/>
        <v>550</v>
      </c>
      <c r="L36" s="111">
        <v>0</v>
      </c>
      <c r="M36" s="111">
        <v>0</v>
      </c>
      <c r="N36" s="111">
        <v>0</v>
      </c>
      <c r="O36" s="111">
        <v>0</v>
      </c>
      <c r="P36" s="111">
        <f t="shared" si="1"/>
        <v>550</v>
      </c>
      <c r="Q36" s="111">
        <v>0</v>
      </c>
      <c r="R36" s="111">
        <v>0</v>
      </c>
      <c r="S36" s="111">
        <v>0</v>
      </c>
      <c r="T36" s="111">
        <v>0</v>
      </c>
      <c r="U36" s="112">
        <f t="shared" si="3"/>
        <v>550</v>
      </c>
      <c r="V36" s="112">
        <f t="shared" si="4"/>
        <v>550</v>
      </c>
      <c r="W36" s="112">
        <f t="shared" si="2"/>
        <v>0</v>
      </c>
      <c r="X36" s="53"/>
    </row>
    <row r="37" spans="1:24" ht="45.65" customHeight="1" x14ac:dyDescent="0.55000000000000004">
      <c r="A37" s="105">
        <f t="shared" si="5"/>
        <v>32</v>
      </c>
      <c r="B37" s="106" t="s">
        <v>235</v>
      </c>
      <c r="C37" s="120" t="s">
        <v>132</v>
      </c>
      <c r="D37" s="121"/>
      <c r="E37" s="121" t="s">
        <v>177</v>
      </c>
      <c r="F37" s="121" t="s">
        <v>191</v>
      </c>
      <c r="G37" s="120" t="s">
        <v>163</v>
      </c>
      <c r="H37" s="106">
        <v>450</v>
      </c>
      <c r="I37" s="110">
        <v>26</v>
      </c>
      <c r="J37" s="110">
        <v>0</v>
      </c>
      <c r="K37" s="111">
        <f t="shared" si="0"/>
        <v>450</v>
      </c>
      <c r="L37" s="111">
        <v>0</v>
      </c>
      <c r="M37" s="111">
        <v>0</v>
      </c>
      <c r="N37" s="111">
        <v>0</v>
      </c>
      <c r="O37" s="111">
        <v>0</v>
      </c>
      <c r="P37" s="111">
        <f t="shared" si="1"/>
        <v>450</v>
      </c>
      <c r="Q37" s="111">
        <v>0</v>
      </c>
      <c r="R37" s="111">
        <v>0</v>
      </c>
      <c r="S37" s="111">
        <v>0</v>
      </c>
      <c r="T37" s="111">
        <v>0</v>
      </c>
      <c r="U37" s="112">
        <f t="shared" si="3"/>
        <v>450</v>
      </c>
      <c r="V37" s="112">
        <f t="shared" si="4"/>
        <v>450</v>
      </c>
      <c r="W37" s="112">
        <f t="shared" si="2"/>
        <v>0</v>
      </c>
      <c r="X37" s="53"/>
    </row>
    <row r="38" spans="1:24" ht="45.65" customHeight="1" x14ac:dyDescent="0.55000000000000004">
      <c r="A38" s="105">
        <f t="shared" si="5"/>
        <v>33</v>
      </c>
      <c r="B38" s="106" t="s">
        <v>236</v>
      </c>
      <c r="C38" s="120" t="s">
        <v>133</v>
      </c>
      <c r="D38" s="121"/>
      <c r="E38" s="121" t="s">
        <v>178</v>
      </c>
      <c r="F38" s="121" t="s">
        <v>185</v>
      </c>
      <c r="G38" s="120" t="s">
        <v>164</v>
      </c>
      <c r="H38" s="106">
        <v>260</v>
      </c>
      <c r="I38" s="110">
        <v>26</v>
      </c>
      <c r="J38" s="110">
        <v>0</v>
      </c>
      <c r="K38" s="111">
        <f t="shared" si="0"/>
        <v>260</v>
      </c>
      <c r="L38" s="111">
        <v>0</v>
      </c>
      <c r="M38" s="111">
        <v>0</v>
      </c>
      <c r="N38" s="111">
        <v>0</v>
      </c>
      <c r="O38" s="111">
        <v>0</v>
      </c>
      <c r="P38" s="111">
        <f t="shared" si="1"/>
        <v>260</v>
      </c>
      <c r="Q38" s="111">
        <v>0</v>
      </c>
      <c r="R38" s="111">
        <v>0</v>
      </c>
      <c r="S38" s="111">
        <v>0</v>
      </c>
      <c r="T38" s="111">
        <v>0</v>
      </c>
      <c r="U38" s="112">
        <f t="shared" si="3"/>
        <v>260</v>
      </c>
      <c r="V38" s="112">
        <f t="shared" si="4"/>
        <v>260</v>
      </c>
      <c r="W38" s="112">
        <f t="shared" si="2"/>
        <v>0</v>
      </c>
      <c r="X38" s="53"/>
    </row>
    <row r="39" spans="1:24" ht="45.65" customHeight="1" x14ac:dyDescent="0.55000000000000004">
      <c r="A39" s="105">
        <f t="shared" si="5"/>
        <v>34</v>
      </c>
      <c r="B39" s="113" t="s">
        <v>267</v>
      </c>
      <c r="C39" s="122" t="s">
        <v>104</v>
      </c>
      <c r="D39" s="121"/>
      <c r="E39" s="121" t="s">
        <v>178</v>
      </c>
      <c r="F39" s="121" t="s">
        <v>185</v>
      </c>
      <c r="G39" s="122" t="s">
        <v>89</v>
      </c>
      <c r="H39" s="113">
        <v>160</v>
      </c>
      <c r="I39" s="184">
        <v>26</v>
      </c>
      <c r="J39" s="110">
        <v>0</v>
      </c>
      <c r="K39" s="153">
        <f t="shared" si="0"/>
        <v>160</v>
      </c>
      <c r="L39" s="111">
        <v>0</v>
      </c>
      <c r="M39" s="153">
        <v>0</v>
      </c>
      <c r="N39" s="153">
        <v>0</v>
      </c>
      <c r="O39" s="153">
        <v>0</v>
      </c>
      <c r="P39" s="111">
        <f t="shared" si="1"/>
        <v>160</v>
      </c>
      <c r="Q39" s="153">
        <v>0</v>
      </c>
      <c r="R39" s="111">
        <v>0</v>
      </c>
      <c r="S39" s="153">
        <v>0</v>
      </c>
      <c r="T39" s="153">
        <v>0</v>
      </c>
      <c r="U39" s="185">
        <f t="shared" si="3"/>
        <v>160</v>
      </c>
      <c r="V39" s="112">
        <f t="shared" si="4"/>
        <v>160</v>
      </c>
      <c r="W39" s="112">
        <f t="shared" si="2"/>
        <v>0</v>
      </c>
      <c r="X39" s="53"/>
    </row>
    <row r="40" spans="1:24" s="186" customFormat="1" ht="45.65" customHeight="1" x14ac:dyDescent="0.55000000000000004">
      <c r="A40" s="105">
        <f t="shared" si="5"/>
        <v>35</v>
      </c>
      <c r="B40" s="106" t="s">
        <v>284</v>
      </c>
      <c r="C40" s="120" t="s">
        <v>137</v>
      </c>
      <c r="D40" s="121"/>
      <c r="E40" s="121" t="s">
        <v>184</v>
      </c>
      <c r="F40" s="121" t="s">
        <v>185</v>
      </c>
      <c r="G40" s="120" t="s">
        <v>165</v>
      </c>
      <c r="H40" s="106">
        <v>240</v>
      </c>
      <c r="I40" s="110">
        <v>26</v>
      </c>
      <c r="J40" s="110">
        <v>0</v>
      </c>
      <c r="K40" s="111">
        <f>H40/26*I40</f>
        <v>239.99999999999997</v>
      </c>
      <c r="L40" s="111">
        <v>0</v>
      </c>
      <c r="M40" s="111">
        <v>0</v>
      </c>
      <c r="N40" s="111">
        <v>0</v>
      </c>
      <c r="O40" s="111">
        <v>0</v>
      </c>
      <c r="P40" s="111">
        <f t="shared" si="1"/>
        <v>239.99999999999997</v>
      </c>
      <c r="Q40" s="111">
        <v>0</v>
      </c>
      <c r="R40" s="111">
        <v>16.73</v>
      </c>
      <c r="S40" s="111">
        <v>0</v>
      </c>
      <c r="T40" s="111">
        <v>0</v>
      </c>
      <c r="U40" s="112">
        <f>P40-Q40-R40-S40-T40</f>
        <v>223.26999999999998</v>
      </c>
      <c r="V40" s="112">
        <f t="shared" si="4"/>
        <v>223.26999999999998</v>
      </c>
      <c r="W40" s="112">
        <f t="shared" si="2"/>
        <v>0</v>
      </c>
      <c r="X40" s="53"/>
    </row>
    <row r="41" spans="1:24" s="186" customFormat="1" ht="45.65" customHeight="1" x14ac:dyDescent="0.55000000000000004">
      <c r="A41" s="105">
        <f t="shared" si="5"/>
        <v>36</v>
      </c>
      <c r="B41" s="106" t="s">
        <v>285</v>
      </c>
      <c r="C41" s="120" t="s">
        <v>138</v>
      </c>
      <c r="D41" s="121"/>
      <c r="E41" s="121" t="s">
        <v>184</v>
      </c>
      <c r="F41" s="121" t="s">
        <v>185</v>
      </c>
      <c r="G41" s="120" t="s">
        <v>165</v>
      </c>
      <c r="H41" s="106">
        <v>150</v>
      </c>
      <c r="I41" s="110">
        <v>26</v>
      </c>
      <c r="J41" s="110">
        <v>0</v>
      </c>
      <c r="K41" s="111">
        <f>H41/26*I41</f>
        <v>150</v>
      </c>
      <c r="L41" s="111">
        <v>0</v>
      </c>
      <c r="M41" s="111">
        <v>11.54</v>
      </c>
      <c r="N41" s="111">
        <v>0</v>
      </c>
      <c r="O41" s="111">
        <v>0</v>
      </c>
      <c r="P41" s="111">
        <f t="shared" si="1"/>
        <v>161.54</v>
      </c>
      <c r="Q41" s="111">
        <v>0</v>
      </c>
      <c r="R41" s="111">
        <v>34.619999999999997</v>
      </c>
      <c r="S41" s="111">
        <v>0</v>
      </c>
      <c r="T41" s="111">
        <v>0</v>
      </c>
      <c r="U41" s="112">
        <f>P41-Q41-R41-S41-T41</f>
        <v>126.91999999999999</v>
      </c>
      <c r="V41" s="112">
        <f t="shared" si="4"/>
        <v>126.91999999999999</v>
      </c>
      <c r="W41" s="112">
        <f t="shared" si="2"/>
        <v>0</v>
      </c>
      <c r="X41" s="53"/>
    </row>
    <row r="42" spans="1:24" ht="45.65" customHeight="1" thickBot="1" x14ac:dyDescent="0.6">
      <c r="A42" s="105">
        <f t="shared" si="5"/>
        <v>37</v>
      </c>
      <c r="B42" s="106" t="s">
        <v>286</v>
      </c>
      <c r="C42" s="129" t="s">
        <v>139</v>
      </c>
      <c r="D42" s="130"/>
      <c r="E42" s="130" t="s">
        <v>184</v>
      </c>
      <c r="F42" s="121" t="s">
        <v>185</v>
      </c>
      <c r="G42" s="129" t="s">
        <v>167</v>
      </c>
      <c r="H42" s="128">
        <v>150</v>
      </c>
      <c r="I42" s="131">
        <v>26</v>
      </c>
      <c r="J42" s="110">
        <v>0</v>
      </c>
      <c r="K42" s="132">
        <f>H42/26*I42</f>
        <v>150</v>
      </c>
      <c r="L42" s="111">
        <v>0</v>
      </c>
      <c r="M42" s="132">
        <v>0</v>
      </c>
      <c r="N42" s="132">
        <v>0</v>
      </c>
      <c r="O42" s="132">
        <v>0</v>
      </c>
      <c r="P42" s="111">
        <f t="shared" si="1"/>
        <v>150</v>
      </c>
      <c r="Q42" s="132">
        <v>0</v>
      </c>
      <c r="R42" s="111">
        <v>0</v>
      </c>
      <c r="S42" s="132">
        <v>0</v>
      </c>
      <c r="T42" s="132">
        <v>0</v>
      </c>
      <c r="U42" s="133">
        <f>P42-Q42-R42-S42-T42</f>
        <v>150</v>
      </c>
      <c r="V42" s="112">
        <f t="shared" si="4"/>
        <v>150</v>
      </c>
      <c r="W42" s="112">
        <f t="shared" si="2"/>
        <v>0</v>
      </c>
      <c r="X42" s="53"/>
    </row>
    <row r="43" spans="1:24" ht="45.65" customHeight="1" x14ac:dyDescent="0.55000000000000004">
      <c r="A43" s="105">
        <f t="shared" si="5"/>
        <v>38</v>
      </c>
      <c r="B43" s="106" t="s">
        <v>287</v>
      </c>
      <c r="C43" s="136" t="s">
        <v>140</v>
      </c>
      <c r="D43" s="137"/>
      <c r="E43" s="189" t="s">
        <v>180</v>
      </c>
      <c r="F43" s="121" t="s">
        <v>185</v>
      </c>
      <c r="G43" s="136" t="s">
        <v>168</v>
      </c>
      <c r="H43" s="135">
        <v>250</v>
      </c>
      <c r="I43" s="138">
        <v>26</v>
      </c>
      <c r="J43" s="110">
        <v>0</v>
      </c>
      <c r="K43" s="139">
        <f t="shared" si="0"/>
        <v>250</v>
      </c>
      <c r="L43" s="111">
        <v>0</v>
      </c>
      <c r="M43" s="139">
        <v>0</v>
      </c>
      <c r="N43" s="139">
        <v>0</v>
      </c>
      <c r="O43" s="139">
        <v>0</v>
      </c>
      <c r="P43" s="111">
        <f t="shared" si="1"/>
        <v>250</v>
      </c>
      <c r="Q43" s="139">
        <v>0</v>
      </c>
      <c r="R43" s="111">
        <v>0</v>
      </c>
      <c r="S43" s="139">
        <v>0</v>
      </c>
      <c r="T43" s="139">
        <v>0</v>
      </c>
      <c r="U43" s="140">
        <f t="shared" si="3"/>
        <v>250</v>
      </c>
      <c r="V43" s="112">
        <f t="shared" si="4"/>
        <v>250</v>
      </c>
      <c r="W43" s="112">
        <f t="shared" si="2"/>
        <v>0</v>
      </c>
      <c r="X43" s="53"/>
    </row>
    <row r="44" spans="1:24" ht="45.65" customHeight="1" x14ac:dyDescent="0.55000000000000004">
      <c r="A44" s="105">
        <f t="shared" si="5"/>
        <v>39</v>
      </c>
      <c r="B44" s="106" t="s">
        <v>288</v>
      </c>
      <c r="C44" s="107" t="s">
        <v>141</v>
      </c>
      <c r="D44" s="108"/>
      <c r="E44" s="108" t="s">
        <v>184</v>
      </c>
      <c r="F44" s="121" t="s">
        <v>185</v>
      </c>
      <c r="G44" s="107" t="s">
        <v>169</v>
      </c>
      <c r="H44" s="109">
        <v>100</v>
      </c>
      <c r="I44" s="110">
        <v>26</v>
      </c>
      <c r="J44" s="110">
        <v>0</v>
      </c>
      <c r="K44" s="111">
        <f t="shared" si="0"/>
        <v>100</v>
      </c>
      <c r="L44" s="111">
        <v>0</v>
      </c>
      <c r="M44" s="111">
        <v>0</v>
      </c>
      <c r="N44" s="111">
        <v>0</v>
      </c>
      <c r="O44" s="111">
        <v>0</v>
      </c>
      <c r="P44" s="111">
        <f t="shared" si="1"/>
        <v>100</v>
      </c>
      <c r="Q44" s="111">
        <v>0</v>
      </c>
      <c r="R44" s="111">
        <v>0</v>
      </c>
      <c r="S44" s="111">
        <v>0</v>
      </c>
      <c r="T44" s="111">
        <v>0</v>
      </c>
      <c r="U44" s="112">
        <f t="shared" si="3"/>
        <v>100</v>
      </c>
      <c r="V44" s="112">
        <f t="shared" si="4"/>
        <v>100</v>
      </c>
      <c r="W44" s="112">
        <f t="shared" si="2"/>
        <v>0</v>
      </c>
      <c r="X44" s="53"/>
    </row>
    <row r="45" spans="1:24" ht="45.65" customHeight="1" x14ac:dyDescent="0.55000000000000004">
      <c r="A45" s="105">
        <f t="shared" si="5"/>
        <v>40</v>
      </c>
      <c r="B45" s="106" t="s">
        <v>289</v>
      </c>
      <c r="C45" s="107" t="s">
        <v>142</v>
      </c>
      <c r="D45" s="108"/>
      <c r="E45" s="108" t="s">
        <v>184</v>
      </c>
      <c r="F45" s="121" t="s">
        <v>185</v>
      </c>
      <c r="G45" s="107" t="s">
        <v>170</v>
      </c>
      <c r="H45" s="109">
        <v>150</v>
      </c>
      <c r="I45" s="110">
        <v>26</v>
      </c>
      <c r="J45" s="110">
        <v>0</v>
      </c>
      <c r="K45" s="111">
        <f t="shared" si="0"/>
        <v>150</v>
      </c>
      <c r="L45" s="111">
        <v>0</v>
      </c>
      <c r="M45" s="111">
        <v>0</v>
      </c>
      <c r="N45" s="111">
        <v>0</v>
      </c>
      <c r="O45" s="111">
        <v>0</v>
      </c>
      <c r="P45" s="111">
        <f t="shared" si="1"/>
        <v>150</v>
      </c>
      <c r="Q45" s="111">
        <v>0</v>
      </c>
      <c r="R45" s="111">
        <v>0</v>
      </c>
      <c r="S45" s="111">
        <v>0</v>
      </c>
      <c r="T45" s="111">
        <v>0</v>
      </c>
      <c r="U45" s="112">
        <f t="shared" si="3"/>
        <v>150</v>
      </c>
      <c r="V45" s="112">
        <f t="shared" si="4"/>
        <v>150</v>
      </c>
      <c r="W45" s="112">
        <f t="shared" si="2"/>
        <v>0</v>
      </c>
      <c r="X45" s="53"/>
    </row>
    <row r="46" spans="1:24" ht="45.65" customHeight="1" x14ac:dyDescent="0.55000000000000004">
      <c r="A46" s="105">
        <f t="shared" si="5"/>
        <v>41</v>
      </c>
      <c r="B46" s="106" t="s">
        <v>290</v>
      </c>
      <c r="C46" s="107" t="s">
        <v>251</v>
      </c>
      <c r="D46" s="108"/>
      <c r="E46" s="108" t="s">
        <v>184</v>
      </c>
      <c r="F46" s="108" t="s">
        <v>185</v>
      </c>
      <c r="G46" s="107" t="s">
        <v>169</v>
      </c>
      <c r="H46" s="109">
        <v>100</v>
      </c>
      <c r="I46" s="110">
        <v>26</v>
      </c>
      <c r="J46" s="110">
        <v>0</v>
      </c>
      <c r="K46" s="111">
        <f t="shared" si="0"/>
        <v>100</v>
      </c>
      <c r="L46" s="111">
        <v>0</v>
      </c>
      <c r="M46" s="111">
        <v>0</v>
      </c>
      <c r="N46" s="111">
        <v>0</v>
      </c>
      <c r="O46" s="111">
        <v>0</v>
      </c>
      <c r="P46" s="111">
        <f t="shared" si="1"/>
        <v>100</v>
      </c>
      <c r="Q46" s="111">
        <v>0</v>
      </c>
      <c r="R46" s="111">
        <v>0</v>
      </c>
      <c r="S46" s="111">
        <v>0</v>
      </c>
      <c r="T46" s="111">
        <v>0</v>
      </c>
      <c r="U46" s="112">
        <f t="shared" si="3"/>
        <v>100</v>
      </c>
      <c r="V46" s="112">
        <f t="shared" si="4"/>
        <v>100</v>
      </c>
      <c r="W46" s="112">
        <f t="shared" si="2"/>
        <v>0</v>
      </c>
      <c r="X46" s="53"/>
    </row>
    <row r="47" spans="1:24" ht="45.65" customHeight="1" x14ac:dyDescent="0.55000000000000004">
      <c r="A47" s="105">
        <f t="shared" si="5"/>
        <v>42</v>
      </c>
      <c r="B47" s="106" t="s">
        <v>255</v>
      </c>
      <c r="C47" s="107" t="s">
        <v>253</v>
      </c>
      <c r="D47" s="108"/>
      <c r="E47" s="108" t="s">
        <v>178</v>
      </c>
      <c r="F47" s="108" t="s">
        <v>185</v>
      </c>
      <c r="G47" s="107"/>
      <c r="H47" s="109">
        <v>500</v>
      </c>
      <c r="I47" s="110">
        <v>26</v>
      </c>
      <c r="J47" s="110">
        <v>0</v>
      </c>
      <c r="K47" s="111">
        <f t="shared" si="0"/>
        <v>500</v>
      </c>
      <c r="L47" s="111">
        <v>0</v>
      </c>
      <c r="M47" s="111">
        <v>0</v>
      </c>
      <c r="N47" s="111">
        <v>0</v>
      </c>
      <c r="O47" s="111">
        <v>0</v>
      </c>
      <c r="P47" s="111">
        <f t="shared" si="1"/>
        <v>500</v>
      </c>
      <c r="Q47" s="111">
        <v>0</v>
      </c>
      <c r="R47" s="111">
        <v>0</v>
      </c>
      <c r="S47" s="111">
        <v>0</v>
      </c>
      <c r="T47" s="111">
        <v>0</v>
      </c>
      <c r="U47" s="112">
        <f>P47-Q47-R47-S47-T47</f>
        <v>500</v>
      </c>
      <c r="V47" s="112">
        <f t="shared" si="4"/>
        <v>500</v>
      </c>
      <c r="W47" s="112">
        <f t="shared" si="2"/>
        <v>0</v>
      </c>
      <c r="X47" s="53"/>
    </row>
    <row r="48" spans="1:24" ht="45.65" customHeight="1" x14ac:dyDescent="0.55000000000000004">
      <c r="A48" s="105">
        <f t="shared" si="5"/>
        <v>43</v>
      </c>
      <c r="B48" s="106" t="s">
        <v>292</v>
      </c>
      <c r="C48" s="107" t="s">
        <v>254</v>
      </c>
      <c r="D48" s="108"/>
      <c r="E48" s="108" t="s">
        <v>178</v>
      </c>
      <c r="F48" s="108" t="s">
        <v>185</v>
      </c>
      <c r="G48" s="107"/>
      <c r="H48" s="109">
        <v>350</v>
      </c>
      <c r="I48" s="110">
        <v>26</v>
      </c>
      <c r="J48" s="110">
        <v>0</v>
      </c>
      <c r="K48" s="111">
        <f t="shared" si="0"/>
        <v>350</v>
      </c>
      <c r="L48" s="111">
        <v>0</v>
      </c>
      <c r="M48" s="111">
        <v>0</v>
      </c>
      <c r="N48" s="111">
        <v>0</v>
      </c>
      <c r="O48" s="111">
        <v>0</v>
      </c>
      <c r="P48" s="111">
        <f t="shared" si="1"/>
        <v>350</v>
      </c>
      <c r="Q48" s="111">
        <v>0</v>
      </c>
      <c r="R48" s="111">
        <v>0</v>
      </c>
      <c r="S48" s="111">
        <v>0</v>
      </c>
      <c r="T48" s="111">
        <v>0</v>
      </c>
      <c r="U48" s="112">
        <f t="shared" si="3"/>
        <v>350</v>
      </c>
      <c r="V48" s="112">
        <f t="shared" si="4"/>
        <v>350</v>
      </c>
      <c r="W48" s="112">
        <f t="shared" si="2"/>
        <v>0</v>
      </c>
      <c r="X48" s="53"/>
    </row>
    <row r="49" spans="1:24" ht="45.65" customHeight="1" x14ac:dyDescent="0.55000000000000004">
      <c r="A49" s="105">
        <f t="shared" si="5"/>
        <v>44</v>
      </c>
      <c r="B49" s="106" t="s">
        <v>293</v>
      </c>
      <c r="C49" s="107" t="s">
        <v>259</v>
      </c>
      <c r="D49" s="108"/>
      <c r="E49" s="108" t="s">
        <v>178</v>
      </c>
      <c r="F49" s="108" t="s">
        <v>185</v>
      </c>
      <c r="G49" s="107"/>
      <c r="H49" s="109">
        <v>80</v>
      </c>
      <c r="I49" s="110">
        <v>26</v>
      </c>
      <c r="J49" s="110">
        <v>0</v>
      </c>
      <c r="K49" s="111">
        <f t="shared" si="0"/>
        <v>80</v>
      </c>
      <c r="L49" s="111">
        <v>0</v>
      </c>
      <c r="M49" s="111">
        <v>0</v>
      </c>
      <c r="N49" s="111">
        <v>0</v>
      </c>
      <c r="O49" s="111">
        <v>0</v>
      </c>
      <c r="P49" s="111">
        <f t="shared" si="1"/>
        <v>80</v>
      </c>
      <c r="Q49" s="111">
        <v>0</v>
      </c>
      <c r="R49" s="111">
        <v>0</v>
      </c>
      <c r="S49" s="111">
        <v>0</v>
      </c>
      <c r="T49" s="111">
        <v>0</v>
      </c>
      <c r="U49" s="112">
        <f t="shared" si="3"/>
        <v>80</v>
      </c>
      <c r="V49" s="112">
        <f t="shared" si="4"/>
        <v>80</v>
      </c>
      <c r="W49" s="112">
        <f t="shared" si="2"/>
        <v>0</v>
      </c>
      <c r="X49" s="53"/>
    </row>
    <row r="50" spans="1:24" ht="45.65" customHeight="1" x14ac:dyDescent="0.55000000000000004">
      <c r="A50" s="105">
        <f t="shared" si="5"/>
        <v>45</v>
      </c>
      <c r="B50" s="106" t="s">
        <v>294</v>
      </c>
      <c r="C50" s="107" t="s">
        <v>260</v>
      </c>
      <c r="D50" s="108"/>
      <c r="E50" s="108" t="s">
        <v>178</v>
      </c>
      <c r="F50" s="108" t="s">
        <v>185</v>
      </c>
      <c r="G50" s="107"/>
      <c r="H50" s="109">
        <v>60</v>
      </c>
      <c r="I50" s="110">
        <v>26</v>
      </c>
      <c r="J50" s="110">
        <v>0</v>
      </c>
      <c r="K50" s="111">
        <f t="shared" si="0"/>
        <v>59.999999999999993</v>
      </c>
      <c r="L50" s="111">
        <v>0</v>
      </c>
      <c r="M50" s="111">
        <v>0</v>
      </c>
      <c r="N50" s="111">
        <v>0</v>
      </c>
      <c r="O50" s="111">
        <v>0</v>
      </c>
      <c r="P50" s="111">
        <f t="shared" si="1"/>
        <v>59.999999999999993</v>
      </c>
      <c r="Q50" s="111">
        <v>0</v>
      </c>
      <c r="R50" s="111">
        <v>0</v>
      </c>
      <c r="S50" s="111">
        <v>0</v>
      </c>
      <c r="T50" s="111">
        <v>0</v>
      </c>
      <c r="U50" s="112">
        <f t="shared" si="3"/>
        <v>59.999999999999993</v>
      </c>
      <c r="V50" s="112">
        <f t="shared" si="4"/>
        <v>59.999999999999993</v>
      </c>
      <c r="W50" s="112">
        <f t="shared" si="2"/>
        <v>0</v>
      </c>
      <c r="X50" s="53"/>
    </row>
    <row r="51" spans="1:24" ht="45.65" customHeight="1" x14ac:dyDescent="0.55000000000000004">
      <c r="A51" s="105">
        <f t="shared" si="5"/>
        <v>46</v>
      </c>
      <c r="B51" s="106" t="s">
        <v>297</v>
      </c>
      <c r="C51" s="107" t="s">
        <v>301</v>
      </c>
      <c r="D51" s="108"/>
      <c r="E51" s="108"/>
      <c r="F51" s="108"/>
      <c r="G51" s="107"/>
      <c r="H51" s="109">
        <v>270</v>
      </c>
      <c r="I51" s="110">
        <v>26</v>
      </c>
      <c r="J51" s="110">
        <v>0</v>
      </c>
      <c r="K51" s="111">
        <f t="shared" si="0"/>
        <v>270</v>
      </c>
      <c r="L51" s="111">
        <v>0</v>
      </c>
      <c r="M51" s="111">
        <v>0</v>
      </c>
      <c r="N51" s="111">
        <v>0</v>
      </c>
      <c r="O51" s="111">
        <v>0</v>
      </c>
      <c r="P51" s="111">
        <f t="shared" si="1"/>
        <v>270</v>
      </c>
      <c r="Q51" s="111">
        <v>0</v>
      </c>
      <c r="R51" s="111">
        <v>0</v>
      </c>
      <c r="S51" s="111">
        <v>0</v>
      </c>
      <c r="T51" s="111">
        <v>0</v>
      </c>
      <c r="U51" s="112">
        <f t="shared" si="3"/>
        <v>270</v>
      </c>
      <c r="V51" s="112">
        <f t="shared" si="4"/>
        <v>270</v>
      </c>
      <c r="W51" s="112">
        <f t="shared" si="2"/>
        <v>0</v>
      </c>
      <c r="X51" s="53"/>
    </row>
    <row r="52" spans="1:24" ht="45.65" customHeight="1" x14ac:dyDescent="0.55000000000000004">
      <c r="A52" s="105">
        <f t="shared" si="5"/>
        <v>47</v>
      </c>
      <c r="B52" s="106" t="s">
        <v>304</v>
      </c>
      <c r="C52" s="107" t="s">
        <v>302</v>
      </c>
      <c r="D52" s="108"/>
      <c r="E52" s="108"/>
      <c r="F52" s="108"/>
      <c r="G52" s="107"/>
      <c r="H52" s="109">
        <v>80</v>
      </c>
      <c r="I52" s="110">
        <v>26</v>
      </c>
      <c r="J52" s="110">
        <v>0</v>
      </c>
      <c r="K52" s="111">
        <f t="shared" si="0"/>
        <v>80</v>
      </c>
      <c r="L52" s="111">
        <v>0</v>
      </c>
      <c r="M52" s="111">
        <v>0</v>
      </c>
      <c r="N52" s="111">
        <v>0</v>
      </c>
      <c r="O52" s="111">
        <v>0</v>
      </c>
      <c r="P52" s="111">
        <f t="shared" si="1"/>
        <v>80</v>
      </c>
      <c r="Q52" s="111">
        <v>0</v>
      </c>
      <c r="R52" s="111">
        <v>0</v>
      </c>
      <c r="S52" s="111">
        <v>0</v>
      </c>
      <c r="T52" s="111">
        <v>0</v>
      </c>
      <c r="U52" s="112">
        <f t="shared" si="3"/>
        <v>80</v>
      </c>
      <c r="V52" s="112">
        <f t="shared" si="4"/>
        <v>80</v>
      </c>
      <c r="W52" s="112">
        <f t="shared" si="2"/>
        <v>0</v>
      </c>
      <c r="X52" s="53"/>
    </row>
    <row r="53" spans="1:24" ht="45.65" customHeight="1" x14ac:dyDescent="0.55000000000000004">
      <c r="A53" s="105">
        <f t="shared" si="5"/>
        <v>48</v>
      </c>
      <c r="B53" s="106" t="s">
        <v>282</v>
      </c>
      <c r="C53" s="120" t="s">
        <v>135</v>
      </c>
      <c r="D53" s="121"/>
      <c r="E53" s="121" t="s">
        <v>184</v>
      </c>
      <c r="F53" s="121" t="s">
        <v>185</v>
      </c>
      <c r="G53" s="120" t="s">
        <v>165</v>
      </c>
      <c r="H53" s="106">
        <v>80</v>
      </c>
      <c r="I53" s="110">
        <v>26</v>
      </c>
      <c r="J53" s="110">
        <v>0</v>
      </c>
      <c r="K53" s="111">
        <f>H53/26*I53</f>
        <v>80</v>
      </c>
      <c r="L53" s="111">
        <v>0</v>
      </c>
      <c r="M53" s="111">
        <v>0</v>
      </c>
      <c r="N53" s="111">
        <v>0</v>
      </c>
      <c r="O53" s="111">
        <v>0</v>
      </c>
      <c r="P53" s="111">
        <f t="shared" si="1"/>
        <v>80</v>
      </c>
      <c r="Q53" s="111">
        <v>0</v>
      </c>
      <c r="R53" s="111">
        <v>0</v>
      </c>
      <c r="S53" s="111">
        <v>0</v>
      </c>
      <c r="T53" s="111">
        <v>0</v>
      </c>
      <c r="U53" s="112">
        <f>P53-Q53-R53-S53-T53</f>
        <v>80</v>
      </c>
      <c r="V53" s="112">
        <f t="shared" si="4"/>
        <v>80</v>
      </c>
      <c r="W53" s="112">
        <f t="shared" si="2"/>
        <v>0</v>
      </c>
      <c r="X53" s="53"/>
    </row>
    <row r="54" spans="1:24" ht="45.65" customHeight="1" x14ac:dyDescent="0.55000000000000004">
      <c r="A54" s="105">
        <f t="shared" si="5"/>
        <v>49</v>
      </c>
      <c r="B54" s="106" t="s">
        <v>305</v>
      </c>
      <c r="C54" s="120" t="s">
        <v>303</v>
      </c>
      <c r="D54" s="121"/>
      <c r="E54" s="121"/>
      <c r="F54" s="121"/>
      <c r="G54" s="120"/>
      <c r="H54" s="106">
        <v>250</v>
      </c>
      <c r="I54" s="110">
        <v>26</v>
      </c>
      <c r="J54" s="110">
        <v>0</v>
      </c>
      <c r="K54" s="111">
        <f>H54/26*I54</f>
        <v>250</v>
      </c>
      <c r="L54" s="111">
        <v>0</v>
      </c>
      <c r="M54" s="111">
        <v>0</v>
      </c>
      <c r="N54" s="111">
        <v>0</v>
      </c>
      <c r="O54" s="111">
        <v>0</v>
      </c>
      <c r="P54" s="111">
        <f t="shared" si="1"/>
        <v>250</v>
      </c>
      <c r="Q54" s="111">
        <v>0</v>
      </c>
      <c r="R54" s="111">
        <v>0</v>
      </c>
      <c r="S54" s="111">
        <v>0</v>
      </c>
      <c r="T54" s="111">
        <v>0</v>
      </c>
      <c r="U54" s="112">
        <f t="shared" ref="U54:U61" si="6">P54-Q54-R54-S54-T54</f>
        <v>250</v>
      </c>
      <c r="V54" s="112">
        <f t="shared" si="4"/>
        <v>250</v>
      </c>
      <c r="W54" s="112">
        <f t="shared" si="2"/>
        <v>0</v>
      </c>
      <c r="X54" s="53"/>
    </row>
    <row r="55" spans="1:24" ht="45.65" customHeight="1" x14ac:dyDescent="0.55000000000000004">
      <c r="A55" s="105">
        <f t="shared" si="5"/>
        <v>50</v>
      </c>
      <c r="B55" s="106" t="s">
        <v>237</v>
      </c>
      <c r="C55" s="107" t="s">
        <v>213</v>
      </c>
      <c r="D55" s="108"/>
      <c r="E55" s="108" t="s">
        <v>177</v>
      </c>
      <c r="F55" s="108" t="s">
        <v>185</v>
      </c>
      <c r="G55" s="107"/>
      <c r="H55" s="188">
        <v>434</v>
      </c>
      <c r="I55" s="110">
        <v>26</v>
      </c>
      <c r="J55" s="110">
        <v>0</v>
      </c>
      <c r="K55" s="111">
        <f t="shared" si="0"/>
        <v>434</v>
      </c>
      <c r="L55" s="111">
        <v>0</v>
      </c>
      <c r="M55" s="111">
        <v>0</v>
      </c>
      <c r="N55" s="111">
        <v>0</v>
      </c>
      <c r="O55" s="111">
        <v>0</v>
      </c>
      <c r="P55" s="111">
        <f t="shared" si="1"/>
        <v>434</v>
      </c>
      <c r="Q55" s="111">
        <v>0</v>
      </c>
      <c r="R55" s="111">
        <v>0</v>
      </c>
      <c r="S55" s="111">
        <v>0</v>
      </c>
      <c r="T55" s="151">
        <v>0</v>
      </c>
      <c r="U55" s="112">
        <f t="shared" si="6"/>
        <v>434</v>
      </c>
      <c r="V55" s="112">
        <v>600</v>
      </c>
      <c r="W55" s="112">
        <f t="shared" si="2"/>
        <v>166</v>
      </c>
      <c r="X55" s="53" t="s">
        <v>176</v>
      </c>
    </row>
    <row r="56" spans="1:24" ht="45.65" customHeight="1" x14ac:dyDescent="0.55000000000000004">
      <c r="A56" s="105">
        <f t="shared" si="5"/>
        <v>51</v>
      </c>
      <c r="B56" s="106" t="s">
        <v>238</v>
      </c>
      <c r="C56" s="107" t="s">
        <v>214</v>
      </c>
      <c r="D56" s="108"/>
      <c r="E56" s="108" t="s">
        <v>177</v>
      </c>
      <c r="F56" s="108" t="s">
        <v>191</v>
      </c>
      <c r="G56" s="107" t="s">
        <v>295</v>
      </c>
      <c r="H56" s="141">
        <v>422.6</v>
      </c>
      <c r="I56" s="110">
        <v>26</v>
      </c>
      <c r="J56" s="110">
        <v>0</v>
      </c>
      <c r="K56" s="111">
        <f t="shared" si="0"/>
        <v>422.6</v>
      </c>
      <c r="L56" s="111">
        <v>0</v>
      </c>
      <c r="M56" s="111">
        <v>0</v>
      </c>
      <c r="N56" s="111">
        <v>0</v>
      </c>
      <c r="O56" s="111">
        <v>0</v>
      </c>
      <c r="P56" s="111">
        <f t="shared" si="1"/>
        <v>422.6</v>
      </c>
      <c r="Q56" s="111">
        <v>0</v>
      </c>
      <c r="R56" s="111">
        <v>0</v>
      </c>
      <c r="S56" s="111">
        <v>0</v>
      </c>
      <c r="T56" s="111">
        <v>0</v>
      </c>
      <c r="U56" s="112">
        <f t="shared" si="6"/>
        <v>422.6</v>
      </c>
      <c r="V56" s="112">
        <f t="shared" si="4"/>
        <v>422.6</v>
      </c>
      <c r="W56" s="112">
        <f t="shared" si="2"/>
        <v>0</v>
      </c>
      <c r="X56" s="53"/>
    </row>
    <row r="57" spans="1:24" ht="45.65" customHeight="1" x14ac:dyDescent="0.55000000000000004">
      <c r="A57" s="105">
        <f t="shared" si="5"/>
        <v>52</v>
      </c>
      <c r="B57" s="106" t="s">
        <v>239</v>
      </c>
      <c r="C57" s="107" t="s">
        <v>175</v>
      </c>
      <c r="D57" s="270" t="s">
        <v>315</v>
      </c>
      <c r="E57" s="271"/>
      <c r="F57" s="271"/>
      <c r="G57" s="272"/>
      <c r="H57" s="109">
        <v>0</v>
      </c>
      <c r="I57" s="110">
        <v>26</v>
      </c>
      <c r="J57" s="110">
        <v>0</v>
      </c>
      <c r="K57" s="111">
        <f t="shared" si="0"/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f t="shared" si="1"/>
        <v>0</v>
      </c>
      <c r="Q57" s="111">
        <v>0</v>
      </c>
      <c r="R57" s="111">
        <v>0</v>
      </c>
      <c r="S57" s="111">
        <v>0</v>
      </c>
      <c r="T57" s="151">
        <v>0</v>
      </c>
      <c r="U57" s="112">
        <f t="shared" si="6"/>
        <v>0</v>
      </c>
      <c r="V57" s="112">
        <v>300</v>
      </c>
      <c r="W57" s="112">
        <f t="shared" si="2"/>
        <v>300</v>
      </c>
      <c r="X57" s="53" t="s">
        <v>176</v>
      </c>
    </row>
    <row r="58" spans="1:24" ht="45.65" customHeight="1" thickBot="1" x14ac:dyDescent="0.6">
      <c r="A58" s="105">
        <f t="shared" si="5"/>
        <v>53</v>
      </c>
      <c r="B58" s="106" t="s">
        <v>240</v>
      </c>
      <c r="C58" s="107" t="s">
        <v>145</v>
      </c>
      <c r="D58" s="270" t="s">
        <v>315</v>
      </c>
      <c r="E58" s="271"/>
      <c r="F58" s="271"/>
      <c r="G58" s="272"/>
      <c r="H58" s="109">
        <v>0</v>
      </c>
      <c r="I58" s="110">
        <v>26</v>
      </c>
      <c r="J58" s="110">
        <v>0</v>
      </c>
      <c r="K58" s="111">
        <f t="shared" si="0"/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f t="shared" si="1"/>
        <v>0</v>
      </c>
      <c r="Q58" s="111">
        <v>0</v>
      </c>
      <c r="R58" s="111">
        <v>0</v>
      </c>
      <c r="S58" s="111">
        <v>0</v>
      </c>
      <c r="T58" s="151">
        <v>0</v>
      </c>
      <c r="U58" s="112">
        <f t="shared" si="6"/>
        <v>0</v>
      </c>
      <c r="V58" s="112">
        <v>600</v>
      </c>
      <c r="W58" s="112">
        <f t="shared" si="2"/>
        <v>600</v>
      </c>
      <c r="X58" s="52" t="s">
        <v>176</v>
      </c>
    </row>
    <row r="59" spans="1:24" ht="45.65" hidden="1" customHeight="1" x14ac:dyDescent="0.55000000000000004">
      <c r="A59" s="105">
        <f t="shared" si="5"/>
        <v>54</v>
      </c>
      <c r="B59" s="106"/>
      <c r="C59" s="107"/>
      <c r="D59" s="108"/>
      <c r="E59" s="108"/>
      <c r="F59" s="108"/>
      <c r="G59" s="107"/>
      <c r="H59" s="109"/>
      <c r="I59" s="110">
        <v>26</v>
      </c>
      <c r="J59" s="110">
        <v>0</v>
      </c>
      <c r="K59" s="111">
        <f t="shared" si="0"/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f t="shared" si="1"/>
        <v>0</v>
      </c>
      <c r="Q59" s="111">
        <v>0</v>
      </c>
      <c r="R59" s="111">
        <v>0</v>
      </c>
      <c r="S59" s="111">
        <v>0</v>
      </c>
      <c r="T59" s="111">
        <v>0</v>
      </c>
      <c r="U59" s="112">
        <f t="shared" si="6"/>
        <v>0</v>
      </c>
      <c r="V59" s="112">
        <f t="shared" si="4"/>
        <v>0</v>
      </c>
      <c r="W59" s="112">
        <f t="shared" si="2"/>
        <v>0</v>
      </c>
      <c r="X59" s="51"/>
    </row>
    <row r="60" spans="1:24" ht="45.65" hidden="1" customHeight="1" x14ac:dyDescent="0.55000000000000004">
      <c r="A60" s="105">
        <f t="shared" si="5"/>
        <v>55</v>
      </c>
      <c r="B60" s="106"/>
      <c r="C60" s="107"/>
      <c r="D60" s="108"/>
      <c r="E60" s="108"/>
      <c r="F60" s="108"/>
      <c r="G60" s="107"/>
      <c r="H60" s="109"/>
      <c r="I60" s="110">
        <v>26</v>
      </c>
      <c r="J60" s="110">
        <v>0</v>
      </c>
      <c r="K60" s="111">
        <f t="shared" si="0"/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f t="shared" si="1"/>
        <v>0</v>
      </c>
      <c r="Q60" s="111">
        <v>0</v>
      </c>
      <c r="R60" s="111">
        <v>0</v>
      </c>
      <c r="S60" s="111">
        <v>0</v>
      </c>
      <c r="T60" s="111">
        <v>0</v>
      </c>
      <c r="U60" s="112">
        <f t="shared" si="6"/>
        <v>0</v>
      </c>
      <c r="V60" s="112">
        <f t="shared" si="4"/>
        <v>0</v>
      </c>
      <c r="W60" s="112">
        <f t="shared" si="2"/>
        <v>0</v>
      </c>
      <c r="X60" s="51"/>
    </row>
    <row r="61" spans="1:24" ht="45.65" hidden="1" customHeight="1" thickBot="1" x14ac:dyDescent="0.6">
      <c r="A61" s="105">
        <f t="shared" si="5"/>
        <v>56</v>
      </c>
      <c r="B61" s="106"/>
      <c r="C61" s="144"/>
      <c r="D61" s="145"/>
      <c r="E61" s="145"/>
      <c r="F61" s="145"/>
      <c r="G61" s="144"/>
      <c r="H61" s="146"/>
      <c r="I61" s="147">
        <v>26</v>
      </c>
      <c r="J61" s="110">
        <v>0</v>
      </c>
      <c r="K61" s="148">
        <f t="shared" si="0"/>
        <v>0</v>
      </c>
      <c r="L61" s="111">
        <v>0</v>
      </c>
      <c r="M61" s="148">
        <v>0</v>
      </c>
      <c r="N61" s="148">
        <v>0</v>
      </c>
      <c r="O61" s="148">
        <v>0</v>
      </c>
      <c r="P61" s="111">
        <f t="shared" si="1"/>
        <v>0</v>
      </c>
      <c r="Q61" s="148">
        <v>0</v>
      </c>
      <c r="R61" s="111">
        <v>0</v>
      </c>
      <c r="S61" s="148">
        <v>0</v>
      </c>
      <c r="T61" s="148">
        <v>0</v>
      </c>
      <c r="U61" s="112">
        <f t="shared" si="6"/>
        <v>0</v>
      </c>
      <c r="V61" s="112">
        <f t="shared" si="4"/>
        <v>0</v>
      </c>
      <c r="W61" s="112">
        <f t="shared" si="2"/>
        <v>0</v>
      </c>
      <c r="X61" s="54"/>
    </row>
    <row r="62" spans="1:24" ht="50.15" customHeight="1" thickBot="1" x14ac:dyDescent="0.45">
      <c r="A62" s="157" t="s">
        <v>0</v>
      </c>
      <c r="B62" s="158"/>
      <c r="C62" s="158"/>
      <c r="D62" s="158"/>
      <c r="E62" s="158"/>
      <c r="F62" s="158"/>
      <c r="G62" s="158"/>
      <c r="H62" s="116">
        <f>SUBTOTAL(9,H6:H61)</f>
        <v>13381.6</v>
      </c>
      <c r="I62" s="158"/>
      <c r="J62" s="159"/>
      <c r="K62" s="116">
        <f t="shared" ref="K62:W62" si="7">SUBTOTAL(9,K6:K61)</f>
        <v>13381.6</v>
      </c>
      <c r="L62" s="116">
        <f t="shared" si="7"/>
        <v>0</v>
      </c>
      <c r="M62" s="116">
        <f t="shared" si="7"/>
        <v>71.539999999999992</v>
      </c>
      <c r="N62" s="116">
        <f t="shared" si="7"/>
        <v>0</v>
      </c>
      <c r="O62" s="116">
        <f t="shared" si="7"/>
        <v>300</v>
      </c>
      <c r="P62" s="116">
        <f t="shared" si="7"/>
        <v>13753.140000000001</v>
      </c>
      <c r="Q62" s="116">
        <f t="shared" si="7"/>
        <v>0</v>
      </c>
      <c r="R62" s="116">
        <f t="shared" si="7"/>
        <v>184.62</v>
      </c>
      <c r="S62" s="116">
        <f t="shared" si="7"/>
        <v>150</v>
      </c>
      <c r="T62" s="152">
        <f t="shared" si="7"/>
        <v>0</v>
      </c>
      <c r="U62" s="124">
        <f t="shared" si="7"/>
        <v>13418.52</v>
      </c>
      <c r="V62" s="124">
        <f t="shared" si="7"/>
        <v>15424.52</v>
      </c>
      <c r="W62" s="124">
        <f t="shared" si="7"/>
        <v>2006</v>
      </c>
      <c r="X62" s="116"/>
    </row>
    <row r="64" spans="1:24" s="190" customFormat="1" ht="20.6" x14ac:dyDescent="0.55000000000000004">
      <c r="C64" s="190" t="s">
        <v>312</v>
      </c>
      <c r="K64" s="190" t="s">
        <v>313</v>
      </c>
      <c r="V64" s="190" t="s">
        <v>314</v>
      </c>
    </row>
    <row r="66" spans="16:19" x14ac:dyDescent="0.4">
      <c r="P66" s="123"/>
      <c r="S66" s="123"/>
    </row>
  </sheetData>
  <autoFilter ref="A5:X61" xr:uid="{00000000-0001-0000-0300-000000000000}"/>
  <mergeCells count="21">
    <mergeCell ref="A1:X1"/>
    <mergeCell ref="A2:X2"/>
    <mergeCell ref="A3:X3"/>
    <mergeCell ref="A4:A5"/>
    <mergeCell ref="B4:B5"/>
    <mergeCell ref="C4:C5"/>
    <mergeCell ref="D4:D5"/>
    <mergeCell ref="E4:E5"/>
    <mergeCell ref="F4:F5"/>
    <mergeCell ref="G4:G5"/>
    <mergeCell ref="V4:V5"/>
    <mergeCell ref="W4:W5"/>
    <mergeCell ref="X4:X5"/>
    <mergeCell ref="K4:P4"/>
    <mergeCell ref="Q4:T4"/>
    <mergeCell ref="U4:U5"/>
    <mergeCell ref="D57:G57"/>
    <mergeCell ref="D58:G58"/>
    <mergeCell ref="H4:H5"/>
    <mergeCell ref="I4:I5"/>
    <mergeCell ref="J4:J5"/>
  </mergeCells>
  <conditionalFormatting sqref="C6:C61">
    <cfRule type="duplicateValues" dxfId="3" priority="1"/>
  </conditionalFormatting>
  <printOptions horizontalCentered="1"/>
  <pageMargins left="0.25" right="0.25" top="0.75" bottom="0.75" header="0.3" footer="0.3"/>
  <pageSetup paperSize="9" scale="3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A6D4-9AC8-43FD-B9D3-DBBE145BAB57}">
  <sheetPr>
    <pageSetUpPr fitToPage="1"/>
  </sheetPr>
  <dimension ref="A1:AC66"/>
  <sheetViews>
    <sheetView topLeftCell="J1" zoomScale="70" zoomScaleNormal="70" workbookViewId="0">
      <pane ySplit="5" topLeftCell="A6" activePane="bottomLeft" state="frozen"/>
      <selection activeCell="O61" sqref="O61:Z61"/>
      <selection pane="bottomLeft" activeCell="Q9" sqref="Q9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66" customWidth="1"/>
    <col min="27" max="27" width="14.3828125" customWidth="1"/>
  </cols>
  <sheetData>
    <row r="1" spans="1:27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7" ht="53.15" customHeight="1" thickBot="1" x14ac:dyDescent="0.45">
      <c r="A2" s="247" t="s">
        <v>307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7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7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  <c r="Z4" s="167"/>
    </row>
    <row r="5" spans="1:27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V5" s="160" t="s">
        <v>242</v>
      </c>
      <c r="W5" s="226"/>
      <c r="X5" s="226"/>
      <c r="Z5" s="167"/>
    </row>
    <row r="6" spans="1:27" ht="45.65" customHeight="1" x14ac:dyDescent="0.55000000000000004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1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/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5" customHeight="1" x14ac:dyDescent="0.55000000000000004">
      <c r="A7" s="105">
        <v>2</v>
      </c>
      <c r="B7" s="106" t="s">
        <v>216</v>
      </c>
      <c r="C7" s="122" t="s">
        <v>198</v>
      </c>
      <c r="D7" s="121" t="s">
        <v>177</v>
      </c>
      <c r="E7" s="121" t="s">
        <v>185</v>
      </c>
      <c r="F7" s="122" t="s">
        <v>146</v>
      </c>
      <c r="G7" s="113">
        <v>410</v>
      </c>
      <c r="H7" s="110">
        <v>26</v>
      </c>
      <c r="I7" s="110">
        <v>0</v>
      </c>
      <c r="J7" s="111">
        <f>G7/26*H7</f>
        <v>410</v>
      </c>
      <c r="K7" s="111">
        <v>0</v>
      </c>
      <c r="L7" s="111">
        <v>0</v>
      </c>
      <c r="M7" s="111">
        <v>0</v>
      </c>
      <c r="N7" s="111">
        <v>0</v>
      </c>
      <c r="O7" s="111">
        <f>J7+K7+L7+M7+N7</f>
        <v>410</v>
      </c>
      <c r="P7" s="111">
        <v>0</v>
      </c>
      <c r="Q7" s="111">
        <v>0.99</v>
      </c>
      <c r="R7" s="111">
        <v>0</v>
      </c>
      <c r="S7" s="111">
        <v>0</v>
      </c>
      <c r="T7" s="112">
        <f>O7-P7-Q7-R7-S7</f>
        <v>409.01</v>
      </c>
      <c r="U7" s="52"/>
      <c r="V7" t="s">
        <v>197</v>
      </c>
      <c r="X7" s="52"/>
      <c r="Y7" t="s">
        <v>256</v>
      </c>
      <c r="Z7" s="168">
        <v>410</v>
      </c>
      <c r="AA7" s="123">
        <f>T7-Z7</f>
        <v>-0.99000000000000909</v>
      </c>
    </row>
    <row r="8" spans="1:27" ht="45.65" customHeight="1" x14ac:dyDescent="0.55000000000000004">
      <c r="A8" s="105">
        <v>3</v>
      </c>
      <c r="B8" s="106" t="s">
        <v>263</v>
      </c>
      <c r="C8" s="120" t="s">
        <v>244</v>
      </c>
      <c r="D8" s="121" t="s">
        <v>178</v>
      </c>
      <c r="E8" s="121" t="s">
        <v>186</v>
      </c>
      <c r="F8" s="120"/>
      <c r="G8" s="106">
        <v>150</v>
      </c>
      <c r="H8" s="110">
        <v>26</v>
      </c>
      <c r="I8" s="110">
        <v>0</v>
      </c>
      <c r="J8" s="111">
        <f t="shared" si="0"/>
        <v>150</v>
      </c>
      <c r="K8" s="111">
        <v>0</v>
      </c>
      <c r="L8" s="111">
        <v>0</v>
      </c>
      <c r="M8" s="111">
        <v>0</v>
      </c>
      <c r="N8" s="111">
        <v>0</v>
      </c>
      <c r="O8" s="111">
        <f t="shared" ref="O8:O61" si="1">J8+K8+L8+M8+N8</f>
        <v>150</v>
      </c>
      <c r="P8" s="111">
        <v>0</v>
      </c>
      <c r="Q8" s="111">
        <v>0</v>
      </c>
      <c r="R8" s="111">
        <v>0</v>
      </c>
      <c r="S8" s="111">
        <v>0</v>
      </c>
      <c r="T8" s="112">
        <f>O8-P8-Q8-R8-S8</f>
        <v>150</v>
      </c>
      <c r="U8" s="51"/>
      <c r="V8" t="s">
        <v>241</v>
      </c>
      <c r="W8" s="51"/>
      <c r="X8" s="51"/>
      <c r="Z8" s="168">
        <v>69.23</v>
      </c>
      <c r="AA8" s="123">
        <f t="shared" ref="AA8:AA55" si="2">T8-Z8</f>
        <v>80.77</v>
      </c>
    </row>
    <row r="9" spans="1:27" ht="45.65" customHeight="1" x14ac:dyDescent="0.55000000000000004">
      <c r="A9" s="105">
        <f>A8+1</f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ref="T9:T52" si="3">O9-P9-Q9-R9-S9</f>
        <v>255.00000000000003</v>
      </c>
      <c r="U9" s="53"/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5" customHeight="1" x14ac:dyDescent="0.55000000000000004">
      <c r="A10" s="105">
        <f t="shared" ref="A10:A61" si="4">A9+1</f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3"/>
        <v>150</v>
      </c>
      <c r="U10" s="53"/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5" customHeight="1" x14ac:dyDescent="0.55000000000000004">
      <c r="A11" s="105">
        <f t="shared" si="4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181.92</v>
      </c>
      <c r="R11" s="111">
        <v>0</v>
      </c>
      <c r="S11" s="111">
        <v>0</v>
      </c>
      <c r="T11" s="112">
        <f t="shared" si="3"/>
        <v>248.08000000000007</v>
      </c>
      <c r="U11" s="53"/>
      <c r="V11" t="s">
        <v>241</v>
      </c>
      <c r="W11" s="53"/>
      <c r="X11" s="53"/>
      <c r="Z11" s="168">
        <v>430</v>
      </c>
      <c r="AA11" s="123">
        <f t="shared" si="2"/>
        <v>-181.91999999999993</v>
      </c>
    </row>
    <row r="12" spans="1:27" ht="45.65" customHeight="1" x14ac:dyDescent="0.55000000000000004">
      <c r="A12" s="105">
        <f t="shared" si="4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2.31</v>
      </c>
      <c r="R12" s="111">
        <v>50</v>
      </c>
      <c r="S12" s="111">
        <v>0</v>
      </c>
      <c r="T12" s="112">
        <f t="shared" si="3"/>
        <v>187.68999999999997</v>
      </c>
      <c r="U12" s="53"/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-2.3100000000000307</v>
      </c>
    </row>
    <row r="13" spans="1:27" ht="45.65" customHeight="1" x14ac:dyDescent="0.55000000000000004">
      <c r="A13" s="105">
        <f t="shared" si="4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0</v>
      </c>
      <c r="M13" s="111">
        <v>0</v>
      </c>
      <c r="N13" s="111">
        <v>0</v>
      </c>
      <c r="O13" s="111">
        <f t="shared" si="1"/>
        <v>330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3"/>
        <v>330</v>
      </c>
      <c r="U13" s="53"/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0</v>
      </c>
    </row>
    <row r="14" spans="1:27" ht="45.65" customHeight="1" x14ac:dyDescent="0.55000000000000004">
      <c r="A14" s="105">
        <f t="shared" si="4"/>
        <v>9</v>
      </c>
      <c r="B14" s="106" t="s">
        <v>219</v>
      </c>
      <c r="C14" s="120" t="s">
        <v>105</v>
      </c>
      <c r="D14" s="121" t="s">
        <v>177</v>
      </c>
      <c r="E14" s="121" t="s">
        <v>185</v>
      </c>
      <c r="F14" s="120" t="s">
        <v>150</v>
      </c>
      <c r="G14" s="106">
        <v>200</v>
      </c>
      <c r="H14" s="110">
        <v>26</v>
      </c>
      <c r="I14" s="110">
        <v>0</v>
      </c>
      <c r="J14" s="111">
        <f t="shared" si="0"/>
        <v>200</v>
      </c>
      <c r="K14" s="111">
        <v>0</v>
      </c>
      <c r="L14" s="111">
        <v>0</v>
      </c>
      <c r="M14" s="111">
        <v>0</v>
      </c>
      <c r="N14" s="111">
        <v>0</v>
      </c>
      <c r="O14" s="111">
        <f t="shared" si="1"/>
        <v>200</v>
      </c>
      <c r="P14" s="111">
        <v>0</v>
      </c>
      <c r="Q14" s="111">
        <v>0</v>
      </c>
      <c r="R14" s="111">
        <v>0</v>
      </c>
      <c r="S14" s="111">
        <v>0</v>
      </c>
      <c r="T14" s="112">
        <f t="shared" si="3"/>
        <v>200</v>
      </c>
      <c r="U14" s="53"/>
      <c r="V14" t="s">
        <v>197</v>
      </c>
      <c r="W14" s="53"/>
      <c r="X14" s="53"/>
      <c r="Y14" t="s">
        <v>256</v>
      </c>
      <c r="Z14" s="168">
        <v>200</v>
      </c>
      <c r="AA14" s="123">
        <f t="shared" si="2"/>
        <v>0</v>
      </c>
    </row>
    <row r="15" spans="1:27" ht="45.65" customHeight="1" x14ac:dyDescent="0.55000000000000004">
      <c r="A15" s="105">
        <f t="shared" si="4"/>
        <v>10</v>
      </c>
      <c r="B15" s="106" t="s">
        <v>220</v>
      </c>
      <c r="C15" s="120" t="s">
        <v>200</v>
      </c>
      <c r="D15" s="121" t="s">
        <v>177</v>
      </c>
      <c r="E15" s="121" t="s">
        <v>188</v>
      </c>
      <c r="F15" s="120" t="s">
        <v>151</v>
      </c>
      <c r="G15" s="106">
        <v>430</v>
      </c>
      <c r="H15" s="110">
        <v>26</v>
      </c>
      <c r="I15" s="110">
        <v>0</v>
      </c>
      <c r="J15" s="111">
        <f t="shared" si="0"/>
        <v>430.00000000000006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430.00000000000006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3"/>
        <v>430.00000000000006</v>
      </c>
      <c r="U15" s="53"/>
      <c r="V15" t="s">
        <v>197</v>
      </c>
      <c r="W15" s="53"/>
      <c r="X15" s="53"/>
      <c r="Y15" t="s">
        <v>256</v>
      </c>
      <c r="Z15" s="168">
        <v>430</v>
      </c>
      <c r="AA15" s="123">
        <f t="shared" si="2"/>
        <v>0</v>
      </c>
    </row>
    <row r="16" spans="1:27" ht="45.65" customHeight="1" x14ac:dyDescent="0.55000000000000004">
      <c r="A16" s="105">
        <f t="shared" si="4"/>
        <v>11</v>
      </c>
      <c r="B16" s="106" t="s">
        <v>221</v>
      </c>
      <c r="C16" s="120" t="s">
        <v>201</v>
      </c>
      <c r="D16" s="121" t="s">
        <v>177</v>
      </c>
      <c r="E16" s="121" t="s">
        <v>185</v>
      </c>
      <c r="F16" s="120" t="s">
        <v>152</v>
      </c>
      <c r="G16" s="106">
        <v>450</v>
      </c>
      <c r="H16" s="110">
        <v>26</v>
      </c>
      <c r="I16" s="110">
        <v>0</v>
      </c>
      <c r="J16" s="111">
        <f t="shared" si="0"/>
        <v>450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450</v>
      </c>
      <c r="P16" s="111">
        <v>0</v>
      </c>
      <c r="Q16" s="111">
        <v>0</v>
      </c>
      <c r="R16" s="111">
        <v>50</v>
      </c>
      <c r="S16" s="111">
        <v>0</v>
      </c>
      <c r="T16" s="112">
        <f t="shared" si="3"/>
        <v>400</v>
      </c>
      <c r="U16" s="53"/>
      <c r="V16" t="s">
        <v>197</v>
      </c>
      <c r="W16" s="53"/>
      <c r="X16" s="53"/>
      <c r="Y16" t="s">
        <v>256</v>
      </c>
      <c r="Z16" s="168">
        <v>395.67</v>
      </c>
      <c r="AA16" s="123">
        <f t="shared" si="2"/>
        <v>4.3299999999999841</v>
      </c>
    </row>
    <row r="17" spans="1:29" ht="45.65" customHeight="1" x14ac:dyDescent="0.55000000000000004">
      <c r="A17" s="105">
        <f t="shared" si="4"/>
        <v>12</v>
      </c>
      <c r="B17" s="106" t="s">
        <v>222</v>
      </c>
      <c r="C17" s="120" t="s">
        <v>202</v>
      </c>
      <c r="D17" s="121" t="s">
        <v>178</v>
      </c>
      <c r="E17" s="121" t="s">
        <v>185</v>
      </c>
      <c r="F17" s="120" t="s">
        <v>153</v>
      </c>
      <c r="G17" s="106">
        <v>300</v>
      </c>
      <c r="H17" s="110">
        <v>26</v>
      </c>
      <c r="I17" s="110">
        <v>0</v>
      </c>
      <c r="J17" s="111">
        <f t="shared" si="0"/>
        <v>300</v>
      </c>
      <c r="K17" s="111">
        <v>0</v>
      </c>
      <c r="L17" s="111">
        <v>0</v>
      </c>
      <c r="M17" s="111">
        <v>0</v>
      </c>
      <c r="N17" s="126">
        <v>300</v>
      </c>
      <c r="O17" s="111">
        <f t="shared" si="1"/>
        <v>600</v>
      </c>
      <c r="P17" s="111">
        <v>0</v>
      </c>
      <c r="Q17" s="111">
        <v>0</v>
      </c>
      <c r="R17" s="111">
        <v>0</v>
      </c>
      <c r="S17" s="111">
        <v>0</v>
      </c>
      <c r="T17" s="112">
        <f t="shared" si="3"/>
        <v>600</v>
      </c>
      <c r="U17" s="53"/>
      <c r="V17" t="s">
        <v>197</v>
      </c>
      <c r="W17" s="53"/>
      <c r="X17" s="53"/>
      <c r="Y17" t="s">
        <v>256</v>
      </c>
      <c r="Z17" s="168">
        <v>600</v>
      </c>
      <c r="AA17" s="123">
        <f t="shared" si="2"/>
        <v>0</v>
      </c>
    </row>
    <row r="18" spans="1:29" ht="45.65" customHeight="1" x14ac:dyDescent="0.55000000000000004">
      <c r="A18" s="105">
        <f t="shared" si="4"/>
        <v>13</v>
      </c>
      <c r="B18" s="106" t="s">
        <v>223</v>
      </c>
      <c r="C18" s="120" t="s">
        <v>109</v>
      </c>
      <c r="D18" s="121" t="s">
        <v>181</v>
      </c>
      <c r="E18" s="121" t="s">
        <v>185</v>
      </c>
      <c r="F18" s="120" t="s">
        <v>154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11">
        <v>0</v>
      </c>
      <c r="O18" s="111">
        <f t="shared" si="1"/>
        <v>300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3"/>
        <v>300</v>
      </c>
      <c r="U18" s="53"/>
      <c r="V18" t="s">
        <v>197</v>
      </c>
      <c r="W18" s="53"/>
      <c r="X18" s="53"/>
      <c r="Y18" t="s">
        <v>256</v>
      </c>
      <c r="Z18" s="168">
        <v>300</v>
      </c>
      <c r="AA18" s="123">
        <f t="shared" si="2"/>
        <v>0</v>
      </c>
    </row>
    <row r="19" spans="1:29" ht="45.65" customHeight="1" x14ac:dyDescent="0.55000000000000004">
      <c r="A19" s="105">
        <f t="shared" si="4"/>
        <v>14</v>
      </c>
      <c r="B19" s="106" t="s">
        <v>224</v>
      </c>
      <c r="C19" s="120" t="s">
        <v>204</v>
      </c>
      <c r="D19" s="121" t="s">
        <v>181</v>
      </c>
      <c r="E19" s="121" t="s">
        <v>185</v>
      </c>
      <c r="F19" s="120"/>
      <c r="G19" s="106">
        <v>250</v>
      </c>
      <c r="H19" s="110">
        <v>26</v>
      </c>
      <c r="I19" s="110">
        <v>0</v>
      </c>
      <c r="J19" s="111">
        <f t="shared" si="0"/>
        <v>250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250</v>
      </c>
      <c r="P19" s="111">
        <v>0</v>
      </c>
      <c r="Q19" s="111">
        <v>0</v>
      </c>
      <c r="R19" s="111"/>
      <c r="S19" s="111">
        <v>0</v>
      </c>
      <c r="T19" s="112">
        <f t="shared" si="3"/>
        <v>250</v>
      </c>
      <c r="U19" s="53"/>
      <c r="V19" t="s">
        <v>197</v>
      </c>
      <c r="W19" s="119"/>
      <c r="X19" s="118"/>
      <c r="Y19" t="s">
        <v>256</v>
      </c>
      <c r="Z19" s="168">
        <v>250</v>
      </c>
      <c r="AA19" s="123">
        <f t="shared" si="2"/>
        <v>0</v>
      </c>
    </row>
    <row r="20" spans="1:29" ht="45.65" customHeight="1" x14ac:dyDescent="0.55000000000000004">
      <c r="A20" s="105">
        <f t="shared" si="4"/>
        <v>15</v>
      </c>
      <c r="B20" s="106" t="s">
        <v>268</v>
      </c>
      <c r="C20" s="120" t="s">
        <v>111</v>
      </c>
      <c r="D20" s="121" t="s">
        <v>182</v>
      </c>
      <c r="E20" s="121" t="s">
        <v>185</v>
      </c>
      <c r="F20" s="120"/>
      <c r="G20" s="106">
        <v>100</v>
      </c>
      <c r="H20" s="110">
        <v>26</v>
      </c>
      <c r="I20" s="110">
        <v>0</v>
      </c>
      <c r="J20" s="111">
        <f t="shared" si="0"/>
        <v>100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100</v>
      </c>
      <c r="P20" s="111">
        <v>0</v>
      </c>
      <c r="Q20" s="111">
        <v>0</v>
      </c>
      <c r="R20" s="111">
        <v>0</v>
      </c>
      <c r="S20" s="111">
        <v>0</v>
      </c>
      <c r="T20" s="112">
        <f t="shared" si="3"/>
        <v>100</v>
      </c>
      <c r="U20" s="53"/>
      <c r="V20" t="s">
        <v>241</v>
      </c>
      <c r="W20" s="53"/>
      <c r="X20" s="53"/>
      <c r="Z20" s="168">
        <v>100</v>
      </c>
      <c r="AA20" s="123">
        <f t="shared" si="2"/>
        <v>0</v>
      </c>
    </row>
    <row r="21" spans="1:29" ht="45.65" customHeight="1" x14ac:dyDescent="0.55000000000000004">
      <c r="A21" s="105">
        <f t="shared" si="4"/>
        <v>16</v>
      </c>
      <c r="B21" s="106" t="s">
        <v>269</v>
      </c>
      <c r="C21" s="120" t="s">
        <v>112</v>
      </c>
      <c r="D21" s="121" t="s">
        <v>177</v>
      </c>
      <c r="E21" s="121" t="s">
        <v>189</v>
      </c>
      <c r="F21" s="120" t="s">
        <v>155</v>
      </c>
      <c r="G21" s="106">
        <v>450</v>
      </c>
      <c r="H21" s="110">
        <v>26</v>
      </c>
      <c r="I21" s="110">
        <v>0</v>
      </c>
      <c r="J21" s="111">
        <f t="shared" si="0"/>
        <v>450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450</v>
      </c>
      <c r="P21" s="111">
        <v>0</v>
      </c>
      <c r="Q21" s="111">
        <v>0</v>
      </c>
      <c r="R21" s="111">
        <v>50</v>
      </c>
      <c r="S21" s="111">
        <v>0</v>
      </c>
      <c r="T21" s="112">
        <f t="shared" si="3"/>
        <v>400</v>
      </c>
      <c r="U21" s="53"/>
      <c r="V21" t="s">
        <v>241</v>
      </c>
      <c r="W21" s="53"/>
      <c r="X21" s="53"/>
      <c r="Z21" s="168">
        <v>400</v>
      </c>
      <c r="AA21" s="123">
        <f t="shared" si="2"/>
        <v>0</v>
      </c>
    </row>
    <row r="22" spans="1:29" ht="45.65" customHeight="1" x14ac:dyDescent="0.55000000000000004">
      <c r="A22" s="105">
        <f t="shared" si="4"/>
        <v>17</v>
      </c>
      <c r="B22" s="106" t="s">
        <v>270</v>
      </c>
      <c r="C22" s="120" t="s">
        <v>114</v>
      </c>
      <c r="D22" s="121" t="s">
        <v>180</v>
      </c>
      <c r="E22" s="121" t="s">
        <v>185</v>
      </c>
      <c r="F22" s="120" t="s">
        <v>157</v>
      </c>
      <c r="G22" s="106">
        <v>50</v>
      </c>
      <c r="H22" s="184">
        <v>0</v>
      </c>
      <c r="I22" s="110">
        <v>0</v>
      </c>
      <c r="J22" s="153">
        <f t="shared" si="0"/>
        <v>0</v>
      </c>
      <c r="K22" s="111">
        <v>0</v>
      </c>
      <c r="L22" s="153">
        <v>0</v>
      </c>
      <c r="M22" s="153">
        <v>0</v>
      </c>
      <c r="N22" s="153">
        <v>0</v>
      </c>
      <c r="O22" s="111">
        <f t="shared" si="1"/>
        <v>0</v>
      </c>
      <c r="P22" s="153">
        <v>0</v>
      </c>
      <c r="Q22" s="153">
        <v>0</v>
      </c>
      <c r="R22" s="153">
        <v>0</v>
      </c>
      <c r="S22" s="153">
        <v>0</v>
      </c>
      <c r="T22" s="185">
        <f t="shared" si="3"/>
        <v>0</v>
      </c>
      <c r="U22" s="187"/>
      <c r="V22" t="s">
        <v>241</v>
      </c>
      <c r="W22" s="187"/>
      <c r="X22" s="187"/>
      <c r="Z22" s="168">
        <v>50</v>
      </c>
      <c r="AA22" s="123">
        <f t="shared" si="2"/>
        <v>-50</v>
      </c>
    </row>
    <row r="23" spans="1:29" ht="45.65" customHeight="1" x14ac:dyDescent="0.55000000000000004">
      <c r="A23" s="105">
        <f t="shared" si="4"/>
        <v>18</v>
      </c>
      <c r="B23" s="106" t="s">
        <v>272</v>
      </c>
      <c r="C23" s="120" t="s">
        <v>115</v>
      </c>
      <c r="D23" s="121" t="s">
        <v>180</v>
      </c>
      <c r="E23" s="121" t="s">
        <v>185</v>
      </c>
      <c r="F23" s="120" t="s">
        <v>158</v>
      </c>
      <c r="G23" s="106">
        <v>150</v>
      </c>
      <c r="H23" s="110">
        <v>26</v>
      </c>
      <c r="I23" s="110">
        <v>0</v>
      </c>
      <c r="J23" s="111">
        <f t="shared" si="0"/>
        <v>150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150</v>
      </c>
      <c r="P23" s="111">
        <v>0</v>
      </c>
      <c r="Q23" s="111">
        <v>5.77</v>
      </c>
      <c r="R23" s="111">
        <v>0</v>
      </c>
      <c r="S23" s="111">
        <v>0</v>
      </c>
      <c r="T23" s="112">
        <f t="shared" si="3"/>
        <v>144.22999999999999</v>
      </c>
      <c r="U23" s="53"/>
      <c r="V23" t="s">
        <v>241</v>
      </c>
      <c r="W23" s="53"/>
      <c r="X23" s="53"/>
      <c r="Z23" s="168">
        <v>147.12</v>
      </c>
      <c r="AA23" s="123">
        <f t="shared" si="2"/>
        <v>-2.8900000000000148</v>
      </c>
      <c r="AC23">
        <f>150-147.116</f>
        <v>2.8839999999999861</v>
      </c>
    </row>
    <row r="24" spans="1:29" ht="45.65" customHeight="1" x14ac:dyDescent="0.55000000000000004">
      <c r="A24" s="105">
        <f t="shared" si="4"/>
        <v>19</v>
      </c>
      <c r="B24" s="106" t="s">
        <v>226</v>
      </c>
      <c r="C24" s="120" t="s">
        <v>206</v>
      </c>
      <c r="D24" s="121" t="s">
        <v>183</v>
      </c>
      <c r="E24" s="121" t="s">
        <v>185</v>
      </c>
      <c r="F24" s="120"/>
      <c r="G24" s="106">
        <v>150</v>
      </c>
      <c r="H24" s="110">
        <v>26</v>
      </c>
      <c r="I24" s="110">
        <v>0</v>
      </c>
      <c r="J24" s="111">
        <f t="shared" si="0"/>
        <v>150</v>
      </c>
      <c r="K24" s="111">
        <v>0</v>
      </c>
      <c r="L24" s="111">
        <v>0</v>
      </c>
      <c r="M24" s="111">
        <v>0</v>
      </c>
      <c r="N24" s="111">
        <v>0</v>
      </c>
      <c r="O24" s="111">
        <f t="shared" si="1"/>
        <v>150</v>
      </c>
      <c r="P24" s="111">
        <v>0</v>
      </c>
      <c r="Q24" s="111">
        <v>0</v>
      </c>
      <c r="R24" s="111">
        <v>0</v>
      </c>
      <c r="S24" s="111">
        <v>0</v>
      </c>
      <c r="T24" s="112">
        <f t="shared" si="3"/>
        <v>150</v>
      </c>
      <c r="U24" s="53"/>
      <c r="V24" t="s">
        <v>197</v>
      </c>
      <c r="W24" s="53"/>
      <c r="X24" s="53"/>
      <c r="Y24" t="s">
        <v>256</v>
      </c>
      <c r="Z24" s="168">
        <v>150</v>
      </c>
      <c r="AA24" s="123">
        <f t="shared" si="2"/>
        <v>0</v>
      </c>
    </row>
    <row r="25" spans="1:29" ht="45.65" customHeight="1" x14ac:dyDescent="0.55000000000000004">
      <c r="A25" s="105">
        <f t="shared" si="4"/>
        <v>20</v>
      </c>
      <c r="B25" s="106" t="s">
        <v>227</v>
      </c>
      <c r="C25" s="120" t="s">
        <v>207</v>
      </c>
      <c r="D25" s="121" t="s">
        <v>183</v>
      </c>
      <c r="E25" s="121" t="s">
        <v>185</v>
      </c>
      <c r="F25" s="120"/>
      <c r="G25" s="106">
        <v>150</v>
      </c>
      <c r="H25" s="110">
        <v>26</v>
      </c>
      <c r="I25" s="110">
        <v>0</v>
      </c>
      <c r="J25" s="111">
        <f t="shared" si="0"/>
        <v>150</v>
      </c>
      <c r="K25" s="111">
        <v>0</v>
      </c>
      <c r="L25" s="111">
        <v>0</v>
      </c>
      <c r="M25" s="111">
        <v>0</v>
      </c>
      <c r="N25" s="111">
        <v>0</v>
      </c>
      <c r="O25" s="111">
        <f t="shared" si="1"/>
        <v>150</v>
      </c>
      <c r="P25" s="111">
        <v>0</v>
      </c>
      <c r="Q25" s="111">
        <v>0</v>
      </c>
      <c r="R25" s="111">
        <v>0</v>
      </c>
      <c r="S25" s="111">
        <v>0</v>
      </c>
      <c r="T25" s="112">
        <f t="shared" si="3"/>
        <v>150</v>
      </c>
      <c r="U25" s="53"/>
      <c r="V25" t="s">
        <v>197</v>
      </c>
      <c r="W25" s="53"/>
      <c r="X25" s="53"/>
      <c r="Y25" t="s">
        <v>256</v>
      </c>
      <c r="Z25" s="168">
        <v>150</v>
      </c>
      <c r="AA25" s="123">
        <f t="shared" si="2"/>
        <v>0</v>
      </c>
    </row>
    <row r="26" spans="1:29" ht="45.65" customHeight="1" x14ac:dyDescent="0.55000000000000004">
      <c r="A26" s="105">
        <f t="shared" si="4"/>
        <v>21</v>
      </c>
      <c r="B26" s="106" t="s">
        <v>306</v>
      </c>
      <c r="C26" s="120" t="s">
        <v>300</v>
      </c>
      <c r="D26" s="121" t="s">
        <v>181</v>
      </c>
      <c r="E26" s="121" t="s">
        <v>185</v>
      </c>
      <c r="F26" s="120"/>
      <c r="G26" s="106">
        <v>100</v>
      </c>
      <c r="H26" s="110">
        <v>26</v>
      </c>
      <c r="I26" s="110">
        <v>0</v>
      </c>
      <c r="J26" s="111">
        <f t="shared" si="0"/>
        <v>100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100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3"/>
        <v>100</v>
      </c>
      <c r="U26" s="53"/>
      <c r="V26" t="s">
        <v>241</v>
      </c>
      <c r="W26" s="53"/>
      <c r="X26" s="53"/>
      <c r="Z26" s="168">
        <v>100</v>
      </c>
      <c r="AA26" s="123">
        <f t="shared" si="2"/>
        <v>0</v>
      </c>
    </row>
    <row r="27" spans="1:29" ht="45.65" customHeight="1" x14ac:dyDescent="0.55000000000000004">
      <c r="A27" s="105">
        <f t="shared" si="4"/>
        <v>22</v>
      </c>
      <c r="B27" s="106" t="s">
        <v>274</v>
      </c>
      <c r="C27" s="120" t="s">
        <v>119</v>
      </c>
      <c r="D27" s="121" t="s">
        <v>183</v>
      </c>
      <c r="E27" s="121" t="s">
        <v>185</v>
      </c>
      <c r="F27" s="120" t="s">
        <v>93</v>
      </c>
      <c r="G27" s="106">
        <v>80</v>
      </c>
      <c r="H27" s="110">
        <v>26</v>
      </c>
      <c r="I27" s="110">
        <v>0</v>
      </c>
      <c r="J27" s="111">
        <f t="shared" si="0"/>
        <v>80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80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3"/>
        <v>80</v>
      </c>
      <c r="U27" s="53"/>
      <c r="V27" t="s">
        <v>241</v>
      </c>
      <c r="W27" s="53"/>
      <c r="X27" s="53"/>
      <c r="Z27" s="168">
        <v>80</v>
      </c>
      <c r="AA27" s="123">
        <f t="shared" si="2"/>
        <v>0</v>
      </c>
    </row>
    <row r="28" spans="1:29" ht="45.65" customHeight="1" x14ac:dyDescent="0.55000000000000004">
      <c r="A28" s="105">
        <f t="shared" si="4"/>
        <v>23</v>
      </c>
      <c r="B28" s="106" t="s">
        <v>275</v>
      </c>
      <c r="C28" s="120" t="s">
        <v>120</v>
      </c>
      <c r="D28" s="121" t="s">
        <v>177</v>
      </c>
      <c r="E28" s="121" t="s">
        <v>190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3"/>
        <v>150</v>
      </c>
      <c r="U28" s="53"/>
      <c r="V28" t="s">
        <v>241</v>
      </c>
      <c r="W28" s="53"/>
      <c r="X28" s="53"/>
      <c r="Z28" s="168">
        <v>150</v>
      </c>
      <c r="AA28" s="123">
        <f t="shared" si="2"/>
        <v>0</v>
      </c>
    </row>
    <row r="29" spans="1:29" ht="45.65" customHeight="1" x14ac:dyDescent="0.55000000000000004">
      <c r="A29" s="105">
        <f t="shared" si="4"/>
        <v>24</v>
      </c>
      <c r="B29" s="106" t="s">
        <v>228</v>
      </c>
      <c r="C29" s="120" t="s">
        <v>208</v>
      </c>
      <c r="D29" s="121" t="s">
        <v>183</v>
      </c>
      <c r="E29" s="121" t="s">
        <v>189</v>
      </c>
      <c r="F29" s="120"/>
      <c r="G29" s="106">
        <v>150</v>
      </c>
      <c r="H29" s="110">
        <v>26</v>
      </c>
      <c r="I29" s="110">
        <v>0</v>
      </c>
      <c r="J29" s="111">
        <f t="shared" si="0"/>
        <v>150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150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3"/>
        <v>150</v>
      </c>
      <c r="U29" s="53"/>
      <c r="V29" t="s">
        <v>197</v>
      </c>
      <c r="W29" s="53"/>
      <c r="X29" s="53"/>
      <c r="Y29" t="s">
        <v>256</v>
      </c>
      <c r="Z29" s="168">
        <v>150</v>
      </c>
      <c r="AA29" s="123">
        <f t="shared" si="2"/>
        <v>0</v>
      </c>
    </row>
    <row r="30" spans="1:29" ht="45.65" customHeight="1" x14ac:dyDescent="0.55000000000000004">
      <c r="A30" s="105">
        <f t="shared" si="4"/>
        <v>25</v>
      </c>
      <c r="B30" s="106" t="s">
        <v>276</v>
      </c>
      <c r="C30" s="120" t="s">
        <v>122</v>
      </c>
      <c r="D30" s="121" t="s">
        <v>181</v>
      </c>
      <c r="E30" s="121" t="s">
        <v>189</v>
      </c>
      <c r="F30" s="120"/>
      <c r="G30" s="106">
        <v>200</v>
      </c>
      <c r="H30" s="110">
        <v>26</v>
      </c>
      <c r="I30" s="110">
        <v>0</v>
      </c>
      <c r="J30" s="111">
        <f t="shared" si="0"/>
        <v>200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200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3"/>
        <v>200</v>
      </c>
      <c r="U30" s="53"/>
      <c r="V30" t="s">
        <v>241</v>
      </c>
      <c r="W30" s="53"/>
      <c r="X30" s="53"/>
      <c r="Z30" s="168">
        <v>200</v>
      </c>
      <c r="AA30" s="123">
        <f t="shared" si="2"/>
        <v>0</v>
      </c>
    </row>
    <row r="31" spans="1:29" ht="45.65" customHeight="1" x14ac:dyDescent="0.55000000000000004">
      <c r="A31" s="105">
        <f t="shared" si="4"/>
        <v>26</v>
      </c>
      <c r="B31" s="106" t="s">
        <v>277</v>
      </c>
      <c r="C31" s="120" t="s">
        <v>123</v>
      </c>
      <c r="D31" s="121" t="s">
        <v>181</v>
      </c>
      <c r="E31" s="121" t="s">
        <v>185</v>
      </c>
      <c r="F31" s="120"/>
      <c r="G31" s="106">
        <v>250</v>
      </c>
      <c r="H31" s="110">
        <v>26</v>
      </c>
      <c r="I31" s="110">
        <v>0</v>
      </c>
      <c r="J31" s="111">
        <f t="shared" si="0"/>
        <v>250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250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3"/>
        <v>250</v>
      </c>
      <c r="U31" s="53"/>
      <c r="V31" t="s">
        <v>241</v>
      </c>
      <c r="W31" s="53"/>
      <c r="X31" s="118"/>
      <c r="Z31" s="168">
        <v>250</v>
      </c>
      <c r="AA31" s="123">
        <f t="shared" si="2"/>
        <v>0</v>
      </c>
    </row>
    <row r="32" spans="1:29" ht="45.65" customHeight="1" x14ac:dyDescent="0.55000000000000004">
      <c r="A32" s="105">
        <f t="shared" si="4"/>
        <v>27</v>
      </c>
      <c r="B32" s="106" t="s">
        <v>230</v>
      </c>
      <c r="C32" s="120" t="s">
        <v>125</v>
      </c>
      <c r="D32" s="121" t="s">
        <v>177</v>
      </c>
      <c r="E32" s="121" t="s">
        <v>185</v>
      </c>
      <c r="F32" s="120" t="s">
        <v>160</v>
      </c>
      <c r="G32" s="106">
        <v>270</v>
      </c>
      <c r="H32" s="110">
        <v>26</v>
      </c>
      <c r="I32" s="110">
        <v>0</v>
      </c>
      <c r="J32" s="111">
        <f t="shared" si="0"/>
        <v>270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270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3"/>
        <v>270</v>
      </c>
      <c r="U32" s="53"/>
      <c r="V32" t="s">
        <v>197</v>
      </c>
      <c r="W32" s="53"/>
      <c r="X32" s="53"/>
      <c r="Y32" t="s">
        <v>256</v>
      </c>
      <c r="Z32" s="168">
        <v>270</v>
      </c>
      <c r="AA32" s="123">
        <f t="shared" si="2"/>
        <v>0</v>
      </c>
    </row>
    <row r="33" spans="1:28" ht="45.65" customHeight="1" x14ac:dyDescent="0.55000000000000004">
      <c r="A33" s="105">
        <f t="shared" si="4"/>
        <v>28</v>
      </c>
      <c r="B33" s="106" t="s">
        <v>278</v>
      </c>
      <c r="C33" s="120" t="s">
        <v>247</v>
      </c>
      <c r="D33" s="121" t="s">
        <v>178</v>
      </c>
      <c r="E33" s="121" t="s">
        <v>185</v>
      </c>
      <c r="F33" s="120"/>
      <c r="G33" s="106">
        <v>280</v>
      </c>
      <c r="H33" s="110">
        <v>26</v>
      </c>
      <c r="I33" s="110">
        <v>0</v>
      </c>
      <c r="J33" s="111">
        <f t="shared" si="0"/>
        <v>280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280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3"/>
        <v>280</v>
      </c>
      <c r="U33" s="53"/>
      <c r="V33" t="s">
        <v>241</v>
      </c>
      <c r="W33" s="53"/>
      <c r="X33" s="53"/>
      <c r="Z33" s="168">
        <v>280</v>
      </c>
      <c r="AA33" s="123">
        <f t="shared" si="2"/>
        <v>0</v>
      </c>
    </row>
    <row r="34" spans="1:28" ht="45.65" customHeight="1" x14ac:dyDescent="0.55000000000000004">
      <c r="A34" s="105">
        <f t="shared" si="4"/>
        <v>29</v>
      </c>
      <c r="B34" s="106" t="s">
        <v>231</v>
      </c>
      <c r="C34" s="120" t="s">
        <v>211</v>
      </c>
      <c r="D34" s="121" t="s">
        <v>177</v>
      </c>
      <c r="E34" s="121" t="s">
        <v>185</v>
      </c>
      <c r="F34" s="120"/>
      <c r="G34" s="106">
        <v>600</v>
      </c>
      <c r="H34" s="110">
        <v>26</v>
      </c>
      <c r="I34" s="110">
        <v>0</v>
      </c>
      <c r="J34" s="111">
        <f t="shared" si="0"/>
        <v>600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600</v>
      </c>
      <c r="P34" s="111">
        <v>0</v>
      </c>
      <c r="Q34" s="153">
        <v>0</v>
      </c>
      <c r="R34" s="111">
        <v>0</v>
      </c>
      <c r="S34" s="151">
        <v>200</v>
      </c>
      <c r="T34" s="112">
        <f t="shared" si="3"/>
        <v>400</v>
      </c>
      <c r="U34" s="53" t="s">
        <v>176</v>
      </c>
      <c r="V34" t="s">
        <v>197</v>
      </c>
      <c r="W34" s="53">
        <v>600</v>
      </c>
      <c r="X34" s="118">
        <v>-200</v>
      </c>
      <c r="Y34" t="s">
        <v>256</v>
      </c>
      <c r="Z34" s="168">
        <v>600</v>
      </c>
      <c r="AA34" s="123">
        <f t="shared" si="2"/>
        <v>-200</v>
      </c>
    </row>
    <row r="35" spans="1:28" ht="45.65" customHeight="1" x14ac:dyDescent="0.55000000000000004">
      <c r="A35" s="105">
        <f t="shared" si="4"/>
        <v>30</v>
      </c>
      <c r="B35" s="106" t="s">
        <v>232</v>
      </c>
      <c r="C35" s="120" t="s">
        <v>248</v>
      </c>
      <c r="D35" s="121" t="s">
        <v>177</v>
      </c>
      <c r="E35" s="121" t="s">
        <v>191</v>
      </c>
      <c r="F35" s="120" t="s">
        <v>162</v>
      </c>
      <c r="G35" s="106">
        <v>450</v>
      </c>
      <c r="H35" s="184">
        <v>26</v>
      </c>
      <c r="I35" s="110">
        <v>0</v>
      </c>
      <c r="J35" s="153">
        <f t="shared" si="0"/>
        <v>450</v>
      </c>
      <c r="K35" s="111">
        <v>0</v>
      </c>
      <c r="L35" s="153">
        <v>0</v>
      </c>
      <c r="M35" s="153">
        <v>0</v>
      </c>
      <c r="N35" s="153">
        <v>0</v>
      </c>
      <c r="O35" s="111">
        <f t="shared" si="1"/>
        <v>450</v>
      </c>
      <c r="P35" s="153">
        <v>0</v>
      </c>
      <c r="Q35" s="153">
        <v>0</v>
      </c>
      <c r="R35" s="153">
        <v>0</v>
      </c>
      <c r="S35" s="153">
        <v>0</v>
      </c>
      <c r="T35" s="185">
        <f t="shared" si="3"/>
        <v>450</v>
      </c>
      <c r="U35" s="53"/>
      <c r="V35" t="s">
        <v>197</v>
      </c>
      <c r="W35" s="53"/>
      <c r="X35" s="53"/>
      <c r="Y35" t="s">
        <v>256</v>
      </c>
      <c r="Z35" s="168">
        <v>103.85</v>
      </c>
      <c r="AA35" s="123">
        <f t="shared" si="2"/>
        <v>346.15</v>
      </c>
    </row>
    <row r="36" spans="1:28" ht="45.65" customHeight="1" x14ac:dyDescent="0.55000000000000004">
      <c r="A36" s="105">
        <f t="shared" si="4"/>
        <v>31</v>
      </c>
      <c r="B36" s="106" t="s">
        <v>233</v>
      </c>
      <c r="C36" s="120" t="s">
        <v>130</v>
      </c>
      <c r="D36" s="121" t="s">
        <v>177</v>
      </c>
      <c r="E36" s="121" t="s">
        <v>191</v>
      </c>
      <c r="F36" s="120" t="s">
        <v>172</v>
      </c>
      <c r="G36" s="106">
        <v>550</v>
      </c>
      <c r="H36" s="110">
        <v>26</v>
      </c>
      <c r="I36" s="110">
        <v>0</v>
      </c>
      <c r="J36" s="111">
        <f t="shared" si="0"/>
        <v>550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550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3"/>
        <v>550</v>
      </c>
      <c r="U36" s="53"/>
      <c r="V36" t="s">
        <v>197</v>
      </c>
      <c r="W36" s="53"/>
      <c r="X36" s="53"/>
      <c r="Y36" t="s">
        <v>256</v>
      </c>
      <c r="Z36" s="168">
        <v>550</v>
      </c>
      <c r="AA36" s="123">
        <f t="shared" si="2"/>
        <v>0</v>
      </c>
    </row>
    <row r="37" spans="1:28" ht="45.65" customHeight="1" x14ac:dyDescent="0.55000000000000004">
      <c r="A37" s="105">
        <f t="shared" si="4"/>
        <v>32</v>
      </c>
      <c r="B37" s="106" t="s">
        <v>235</v>
      </c>
      <c r="C37" s="120" t="s">
        <v>132</v>
      </c>
      <c r="D37" s="121" t="s">
        <v>177</v>
      </c>
      <c r="E37" s="121" t="s">
        <v>191</v>
      </c>
      <c r="F37" s="120" t="s">
        <v>163</v>
      </c>
      <c r="G37" s="106">
        <v>450</v>
      </c>
      <c r="H37" s="110">
        <v>26</v>
      </c>
      <c r="I37" s="110">
        <v>0</v>
      </c>
      <c r="J37" s="111">
        <f t="shared" si="0"/>
        <v>450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450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3"/>
        <v>450</v>
      </c>
      <c r="U37" s="53"/>
      <c r="V37" t="s">
        <v>197</v>
      </c>
      <c r="W37" s="53"/>
      <c r="X37" s="53"/>
      <c r="Y37" t="s">
        <v>256</v>
      </c>
      <c r="Z37" s="168">
        <v>450</v>
      </c>
      <c r="AA37" s="123">
        <f t="shared" si="2"/>
        <v>0</v>
      </c>
    </row>
    <row r="38" spans="1:28" ht="45.65" customHeight="1" x14ac:dyDescent="0.55000000000000004">
      <c r="A38" s="105">
        <f t="shared" si="4"/>
        <v>33</v>
      </c>
      <c r="B38" s="106" t="s">
        <v>236</v>
      </c>
      <c r="C38" s="120" t="s">
        <v>133</v>
      </c>
      <c r="D38" s="121" t="s">
        <v>178</v>
      </c>
      <c r="E38" s="121" t="s">
        <v>185</v>
      </c>
      <c r="F38" s="120" t="s">
        <v>164</v>
      </c>
      <c r="G38" s="106">
        <v>260</v>
      </c>
      <c r="H38" s="110">
        <v>26</v>
      </c>
      <c r="I38" s="110">
        <v>0</v>
      </c>
      <c r="J38" s="111">
        <f t="shared" si="0"/>
        <v>260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260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3"/>
        <v>260</v>
      </c>
      <c r="U38" s="53"/>
      <c r="V38" t="s">
        <v>197</v>
      </c>
      <c r="W38" s="53"/>
      <c r="X38" s="53"/>
      <c r="Y38" t="s">
        <v>256</v>
      </c>
      <c r="Z38" s="168">
        <v>260</v>
      </c>
      <c r="AA38" s="123">
        <f t="shared" si="2"/>
        <v>0</v>
      </c>
    </row>
    <row r="39" spans="1:28" ht="45.65" customHeight="1" x14ac:dyDescent="0.55000000000000004">
      <c r="A39" s="105">
        <f t="shared" si="4"/>
        <v>34</v>
      </c>
      <c r="B39" s="113" t="s">
        <v>267</v>
      </c>
      <c r="C39" s="122" t="s">
        <v>104</v>
      </c>
      <c r="D39" s="121" t="s">
        <v>178</v>
      </c>
      <c r="E39" s="121" t="s">
        <v>185</v>
      </c>
      <c r="F39" s="122" t="s">
        <v>89</v>
      </c>
      <c r="G39" s="113">
        <v>160</v>
      </c>
      <c r="H39" s="184">
        <v>26</v>
      </c>
      <c r="I39" s="110">
        <v>0</v>
      </c>
      <c r="J39" s="153">
        <f t="shared" si="0"/>
        <v>160</v>
      </c>
      <c r="K39" s="111">
        <v>0</v>
      </c>
      <c r="L39" s="153">
        <v>0</v>
      </c>
      <c r="M39" s="153">
        <v>0</v>
      </c>
      <c r="N39" s="153">
        <v>0</v>
      </c>
      <c r="O39" s="111">
        <f t="shared" si="1"/>
        <v>160</v>
      </c>
      <c r="P39" s="153">
        <v>0</v>
      </c>
      <c r="Q39" s="153">
        <v>0</v>
      </c>
      <c r="R39" s="153">
        <v>0</v>
      </c>
      <c r="S39" s="153">
        <v>0</v>
      </c>
      <c r="T39" s="185">
        <f t="shared" si="3"/>
        <v>160</v>
      </c>
      <c r="U39" s="53"/>
      <c r="W39" s="53"/>
      <c r="X39" s="53"/>
      <c r="Z39" s="168"/>
      <c r="AA39" s="123"/>
    </row>
    <row r="40" spans="1:28" s="186" customFormat="1" ht="45.65" customHeight="1" x14ac:dyDescent="0.55000000000000004">
      <c r="A40" s="105">
        <f t="shared" si="4"/>
        <v>35</v>
      </c>
      <c r="B40" s="106" t="s">
        <v>284</v>
      </c>
      <c r="C40" s="120" t="s">
        <v>137</v>
      </c>
      <c r="D40" s="121" t="s">
        <v>184</v>
      </c>
      <c r="E40" s="121" t="s">
        <v>185</v>
      </c>
      <c r="F40" s="120" t="s">
        <v>165</v>
      </c>
      <c r="G40" s="106">
        <v>240</v>
      </c>
      <c r="H40" s="110">
        <v>26</v>
      </c>
      <c r="I40" s="110">
        <v>0</v>
      </c>
      <c r="J40" s="111">
        <f>G40/26*H40</f>
        <v>239.99999999999997</v>
      </c>
      <c r="K40" s="111">
        <v>0</v>
      </c>
      <c r="L40" s="111">
        <v>0</v>
      </c>
      <c r="M40" s="111">
        <v>0</v>
      </c>
      <c r="N40" s="111">
        <v>0</v>
      </c>
      <c r="O40" s="111">
        <f t="shared" si="1"/>
        <v>239.99999999999997</v>
      </c>
      <c r="P40" s="111">
        <v>0</v>
      </c>
      <c r="Q40" s="111">
        <v>9.81</v>
      </c>
      <c r="R40" s="111">
        <v>0</v>
      </c>
      <c r="S40" s="111">
        <v>0</v>
      </c>
      <c r="T40" s="112">
        <f>O40-P40-Q40-R40-S40</f>
        <v>230.18999999999997</v>
      </c>
      <c r="U40" s="53"/>
      <c r="V40" t="s">
        <v>241</v>
      </c>
      <c r="W40" s="53"/>
      <c r="X40" s="118"/>
      <c r="Y40"/>
      <c r="Z40" s="168">
        <v>120</v>
      </c>
      <c r="AA40" s="123">
        <f>T40-Z40</f>
        <v>110.18999999999997</v>
      </c>
      <c r="AB40"/>
    </row>
    <row r="41" spans="1:28" s="186" customFormat="1" ht="45.65" customHeight="1" x14ac:dyDescent="0.55000000000000004">
      <c r="A41" s="105">
        <f t="shared" si="4"/>
        <v>36</v>
      </c>
      <c r="B41" s="106" t="s">
        <v>285</v>
      </c>
      <c r="C41" s="120" t="s">
        <v>138</v>
      </c>
      <c r="D41" s="121" t="s">
        <v>184</v>
      </c>
      <c r="E41" s="121" t="s">
        <v>185</v>
      </c>
      <c r="F41" s="120" t="s">
        <v>165</v>
      </c>
      <c r="G41" s="106">
        <v>120</v>
      </c>
      <c r="H41" s="110">
        <v>26</v>
      </c>
      <c r="I41" s="110">
        <v>0</v>
      </c>
      <c r="J41" s="111">
        <f>G41/26*H41</f>
        <v>119.99999999999999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119.99999999999999</v>
      </c>
      <c r="P41" s="111">
        <v>0</v>
      </c>
      <c r="Q41" s="111">
        <v>38.08</v>
      </c>
      <c r="R41" s="111">
        <v>0</v>
      </c>
      <c r="S41" s="111">
        <v>0</v>
      </c>
      <c r="T41" s="112">
        <f>O41-P41-Q41-R41-S41</f>
        <v>81.919999999999987</v>
      </c>
      <c r="U41" s="53"/>
      <c r="V41" t="s">
        <v>241</v>
      </c>
      <c r="W41" s="53"/>
      <c r="X41" s="118"/>
      <c r="Y41"/>
      <c r="Z41" s="168">
        <v>100</v>
      </c>
      <c r="AA41" s="123">
        <f>T41-Z41</f>
        <v>-18.080000000000013</v>
      </c>
      <c r="AB41"/>
    </row>
    <row r="42" spans="1:28" ht="45.65" customHeight="1" thickBot="1" x14ac:dyDescent="0.6">
      <c r="A42" s="105">
        <f t="shared" si="4"/>
        <v>37</v>
      </c>
      <c r="B42" s="106" t="s">
        <v>286</v>
      </c>
      <c r="C42" s="129" t="s">
        <v>139</v>
      </c>
      <c r="D42" s="130" t="s">
        <v>184</v>
      </c>
      <c r="E42" s="121" t="s">
        <v>185</v>
      </c>
      <c r="F42" s="129" t="s">
        <v>167</v>
      </c>
      <c r="G42" s="128">
        <v>100</v>
      </c>
      <c r="H42" s="131">
        <v>26</v>
      </c>
      <c r="I42" s="110">
        <v>0</v>
      </c>
      <c r="J42" s="132">
        <f>G42/26*H42</f>
        <v>100</v>
      </c>
      <c r="K42" s="111">
        <v>0</v>
      </c>
      <c r="L42" s="132">
        <v>0</v>
      </c>
      <c r="M42" s="132">
        <v>0</v>
      </c>
      <c r="N42" s="132">
        <v>0</v>
      </c>
      <c r="O42" s="111">
        <f t="shared" si="1"/>
        <v>100</v>
      </c>
      <c r="P42" s="132">
        <v>0</v>
      </c>
      <c r="Q42" s="132">
        <v>0</v>
      </c>
      <c r="R42" s="132">
        <v>0</v>
      </c>
      <c r="S42" s="132">
        <v>0</v>
      </c>
      <c r="T42" s="133">
        <f>O42-P42-Q42-R42-S42</f>
        <v>100</v>
      </c>
      <c r="U42" s="53"/>
      <c r="V42" t="s">
        <v>241</v>
      </c>
      <c r="W42" s="53"/>
      <c r="X42" s="118"/>
      <c r="Z42" s="168">
        <v>250</v>
      </c>
      <c r="AA42" s="123">
        <f>T42-Z42</f>
        <v>-150</v>
      </c>
    </row>
    <row r="43" spans="1:28" ht="45.65" customHeight="1" x14ac:dyDescent="0.55000000000000004">
      <c r="A43" s="105">
        <f t="shared" si="4"/>
        <v>38</v>
      </c>
      <c r="B43" s="106" t="s">
        <v>287</v>
      </c>
      <c r="C43" s="136" t="s">
        <v>140</v>
      </c>
      <c r="D43" s="137" t="s">
        <v>180</v>
      </c>
      <c r="E43" s="121" t="s">
        <v>185</v>
      </c>
      <c r="F43" s="136" t="s">
        <v>168</v>
      </c>
      <c r="G43" s="135">
        <v>250</v>
      </c>
      <c r="H43" s="138">
        <v>26</v>
      </c>
      <c r="I43" s="110">
        <v>0</v>
      </c>
      <c r="J43" s="139">
        <f t="shared" si="0"/>
        <v>250</v>
      </c>
      <c r="K43" s="111">
        <v>0</v>
      </c>
      <c r="L43" s="139">
        <v>0</v>
      </c>
      <c r="M43" s="139">
        <v>0</v>
      </c>
      <c r="N43" s="139">
        <v>0</v>
      </c>
      <c r="O43" s="111">
        <f t="shared" si="1"/>
        <v>250</v>
      </c>
      <c r="P43" s="139">
        <v>0</v>
      </c>
      <c r="Q43" s="139">
        <v>0</v>
      </c>
      <c r="R43" s="139">
        <v>0</v>
      </c>
      <c r="S43" s="139">
        <v>0</v>
      </c>
      <c r="T43" s="140">
        <f t="shared" si="3"/>
        <v>250</v>
      </c>
      <c r="U43" s="53"/>
      <c r="V43" t="s">
        <v>241</v>
      </c>
      <c r="W43" s="53"/>
      <c r="X43" s="118"/>
      <c r="Z43" s="168">
        <v>120</v>
      </c>
      <c r="AA43" s="123">
        <f t="shared" si="2"/>
        <v>130</v>
      </c>
    </row>
    <row r="44" spans="1:28" ht="45.65" customHeight="1" x14ac:dyDescent="0.55000000000000004">
      <c r="A44" s="105">
        <f t="shared" si="4"/>
        <v>39</v>
      </c>
      <c r="B44" s="106" t="s">
        <v>288</v>
      </c>
      <c r="C44" s="107" t="s">
        <v>141</v>
      </c>
      <c r="D44" s="108" t="s">
        <v>184</v>
      </c>
      <c r="E44" s="121" t="s">
        <v>185</v>
      </c>
      <c r="F44" s="107" t="s">
        <v>169</v>
      </c>
      <c r="G44" s="109">
        <v>100</v>
      </c>
      <c r="H44" s="110">
        <v>26</v>
      </c>
      <c r="I44" s="110">
        <v>0</v>
      </c>
      <c r="J44" s="111">
        <f t="shared" si="0"/>
        <v>100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100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3"/>
        <v>100</v>
      </c>
      <c r="U44" s="53"/>
      <c r="V44" t="s">
        <v>241</v>
      </c>
      <c r="W44" s="53"/>
      <c r="X44" s="118"/>
      <c r="Z44" s="168">
        <v>150</v>
      </c>
      <c r="AA44" s="123">
        <f t="shared" si="2"/>
        <v>-50</v>
      </c>
    </row>
    <row r="45" spans="1:28" ht="45.65" customHeight="1" x14ac:dyDescent="0.55000000000000004">
      <c r="A45" s="105">
        <f t="shared" si="4"/>
        <v>40</v>
      </c>
      <c r="B45" s="106" t="s">
        <v>289</v>
      </c>
      <c r="C45" s="107" t="s">
        <v>142</v>
      </c>
      <c r="D45" s="108" t="s">
        <v>184</v>
      </c>
      <c r="E45" s="121" t="s">
        <v>185</v>
      </c>
      <c r="F45" s="107" t="s">
        <v>170</v>
      </c>
      <c r="G45" s="109">
        <v>150</v>
      </c>
      <c r="H45" s="110">
        <v>26</v>
      </c>
      <c r="I45" s="110">
        <v>0</v>
      </c>
      <c r="J45" s="111">
        <f t="shared" si="0"/>
        <v>150</v>
      </c>
      <c r="K45" s="111">
        <v>0</v>
      </c>
      <c r="L45" s="111">
        <v>0</v>
      </c>
      <c r="M45" s="111">
        <v>0</v>
      </c>
      <c r="N45" s="111">
        <v>0</v>
      </c>
      <c r="O45" s="111">
        <f t="shared" si="1"/>
        <v>150</v>
      </c>
      <c r="P45" s="111">
        <v>0</v>
      </c>
      <c r="Q45" s="111">
        <v>0</v>
      </c>
      <c r="R45" s="111">
        <v>0</v>
      </c>
      <c r="S45" s="111">
        <v>0</v>
      </c>
      <c r="T45" s="112">
        <f t="shared" si="3"/>
        <v>150</v>
      </c>
      <c r="U45" s="53"/>
      <c r="V45" t="s">
        <v>241</v>
      </c>
      <c r="W45" s="53"/>
      <c r="X45" s="118"/>
      <c r="Z45" s="168">
        <v>100</v>
      </c>
      <c r="AA45" s="123">
        <f t="shared" si="2"/>
        <v>50</v>
      </c>
    </row>
    <row r="46" spans="1:28" ht="45.65" customHeight="1" x14ac:dyDescent="0.55000000000000004">
      <c r="A46" s="105">
        <f t="shared" si="4"/>
        <v>41</v>
      </c>
      <c r="B46" s="106" t="s">
        <v>290</v>
      </c>
      <c r="C46" s="107" t="s">
        <v>251</v>
      </c>
      <c r="D46" s="108" t="s">
        <v>184</v>
      </c>
      <c r="E46" s="108" t="s">
        <v>185</v>
      </c>
      <c r="F46" s="107" t="s">
        <v>169</v>
      </c>
      <c r="G46" s="109">
        <v>100</v>
      </c>
      <c r="H46" s="110">
        <v>26</v>
      </c>
      <c r="I46" s="110">
        <v>0</v>
      </c>
      <c r="J46" s="111">
        <f t="shared" si="0"/>
        <v>100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100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3"/>
        <v>100</v>
      </c>
      <c r="U46" s="53"/>
      <c r="V46" t="s">
        <v>241</v>
      </c>
      <c r="W46" s="53"/>
      <c r="X46" s="118"/>
      <c r="Z46" s="168">
        <v>238.85</v>
      </c>
      <c r="AA46" s="123">
        <f t="shared" si="2"/>
        <v>-138.85</v>
      </c>
    </row>
    <row r="47" spans="1:28" ht="45.65" customHeight="1" x14ac:dyDescent="0.55000000000000004">
      <c r="A47" s="105">
        <f t="shared" si="4"/>
        <v>42</v>
      </c>
      <c r="B47" s="106" t="s">
        <v>255</v>
      </c>
      <c r="C47" s="107" t="s">
        <v>253</v>
      </c>
      <c r="D47" s="108" t="s">
        <v>178</v>
      </c>
      <c r="E47" s="108" t="s">
        <v>185</v>
      </c>
      <c r="F47" s="107"/>
      <c r="G47" s="109">
        <v>500</v>
      </c>
      <c r="H47" s="110">
        <v>26</v>
      </c>
      <c r="I47" s="110">
        <v>0</v>
      </c>
      <c r="J47" s="111">
        <f t="shared" si="0"/>
        <v>500</v>
      </c>
      <c r="K47" s="111">
        <v>0</v>
      </c>
      <c r="L47" s="111">
        <v>0</v>
      </c>
      <c r="M47" s="111">
        <v>0</v>
      </c>
      <c r="N47" s="111">
        <v>0</v>
      </c>
      <c r="O47" s="111">
        <f t="shared" si="1"/>
        <v>500</v>
      </c>
      <c r="P47" s="111">
        <v>0</v>
      </c>
      <c r="Q47" s="111">
        <v>0</v>
      </c>
      <c r="R47" s="111">
        <v>0</v>
      </c>
      <c r="S47" s="111">
        <v>0</v>
      </c>
      <c r="T47" s="112">
        <f>O47-P47-Q47-R47-S47</f>
        <v>500</v>
      </c>
      <c r="U47" s="53"/>
      <c r="W47" s="53"/>
      <c r="X47" s="118"/>
      <c r="Y47" t="s">
        <v>256</v>
      </c>
      <c r="Z47" s="168">
        <v>350</v>
      </c>
      <c r="AA47" s="123">
        <f t="shared" si="2"/>
        <v>150</v>
      </c>
    </row>
    <row r="48" spans="1:28" ht="45.65" customHeight="1" x14ac:dyDescent="0.55000000000000004">
      <c r="A48" s="105">
        <f t="shared" si="4"/>
        <v>43</v>
      </c>
      <c r="B48" s="106" t="s">
        <v>292</v>
      </c>
      <c r="C48" s="107" t="s">
        <v>254</v>
      </c>
      <c r="D48" s="108" t="s">
        <v>178</v>
      </c>
      <c r="E48" s="108" t="s">
        <v>185</v>
      </c>
      <c r="F48" s="107"/>
      <c r="G48" s="109">
        <v>350</v>
      </c>
      <c r="H48" s="110">
        <v>26</v>
      </c>
      <c r="I48" s="110">
        <v>0</v>
      </c>
      <c r="J48" s="111">
        <f t="shared" si="0"/>
        <v>350</v>
      </c>
      <c r="K48" s="111">
        <v>0</v>
      </c>
      <c r="L48" s="111">
        <v>0</v>
      </c>
      <c r="M48" s="111">
        <v>0</v>
      </c>
      <c r="N48" s="111">
        <v>0</v>
      </c>
      <c r="O48" s="111">
        <f t="shared" si="1"/>
        <v>350</v>
      </c>
      <c r="P48" s="111">
        <v>0</v>
      </c>
      <c r="Q48" s="111">
        <v>0</v>
      </c>
      <c r="R48" s="111">
        <v>0</v>
      </c>
      <c r="S48" s="111">
        <v>0</v>
      </c>
      <c r="T48" s="112">
        <f t="shared" si="3"/>
        <v>350</v>
      </c>
      <c r="U48" s="53"/>
      <c r="W48" s="53"/>
      <c r="X48" s="118"/>
      <c r="Z48" s="168">
        <v>600</v>
      </c>
      <c r="AA48" s="123">
        <f t="shared" si="2"/>
        <v>-250</v>
      </c>
    </row>
    <row r="49" spans="1:27" ht="45.65" customHeight="1" x14ac:dyDescent="0.55000000000000004">
      <c r="A49" s="105">
        <f t="shared" si="4"/>
        <v>44</v>
      </c>
      <c r="B49" s="106" t="s">
        <v>293</v>
      </c>
      <c r="C49" s="107" t="s">
        <v>259</v>
      </c>
      <c r="D49" s="108" t="s">
        <v>178</v>
      </c>
      <c r="E49" s="108" t="s">
        <v>185</v>
      </c>
      <c r="F49" s="107"/>
      <c r="G49" s="109">
        <v>80</v>
      </c>
      <c r="H49" s="110">
        <v>26</v>
      </c>
      <c r="I49" s="110">
        <v>0</v>
      </c>
      <c r="J49" s="111">
        <f t="shared" si="0"/>
        <v>80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80</v>
      </c>
      <c r="P49" s="111">
        <v>0</v>
      </c>
      <c r="Q49" s="111">
        <v>0</v>
      </c>
      <c r="R49" s="111">
        <v>0</v>
      </c>
      <c r="S49" s="111">
        <v>0</v>
      </c>
      <c r="T49" s="112">
        <f t="shared" si="3"/>
        <v>80</v>
      </c>
      <c r="U49" s="53"/>
      <c r="W49" s="53"/>
      <c r="X49" s="118"/>
      <c r="Z49" s="168"/>
      <c r="AA49" s="123"/>
    </row>
    <row r="50" spans="1:27" ht="45.65" customHeight="1" x14ac:dyDescent="0.55000000000000004">
      <c r="A50" s="105">
        <f t="shared" si="4"/>
        <v>45</v>
      </c>
      <c r="B50" s="106" t="s">
        <v>294</v>
      </c>
      <c r="C50" s="107" t="s">
        <v>260</v>
      </c>
      <c r="D50" s="108" t="s">
        <v>178</v>
      </c>
      <c r="E50" s="108" t="s">
        <v>185</v>
      </c>
      <c r="F50" s="107"/>
      <c r="G50" s="109">
        <v>60</v>
      </c>
      <c r="H50" s="110">
        <v>26</v>
      </c>
      <c r="I50" s="110">
        <v>0</v>
      </c>
      <c r="J50" s="111">
        <f t="shared" si="0"/>
        <v>59.999999999999993</v>
      </c>
      <c r="K50" s="111">
        <v>0</v>
      </c>
      <c r="L50" s="111">
        <v>60</v>
      </c>
      <c r="M50" s="111">
        <v>0</v>
      </c>
      <c r="N50" s="111">
        <v>0</v>
      </c>
      <c r="O50" s="111">
        <f t="shared" si="1"/>
        <v>120</v>
      </c>
      <c r="P50" s="111">
        <v>0</v>
      </c>
      <c r="Q50" s="111">
        <v>0</v>
      </c>
      <c r="R50" s="111">
        <v>0</v>
      </c>
      <c r="S50" s="111">
        <v>0</v>
      </c>
      <c r="T50" s="112">
        <f t="shared" si="3"/>
        <v>120</v>
      </c>
      <c r="U50" s="53"/>
      <c r="W50" s="53"/>
      <c r="X50" s="118"/>
      <c r="Z50" s="168"/>
      <c r="AA50" s="123"/>
    </row>
    <row r="51" spans="1:27" ht="45.65" customHeight="1" x14ac:dyDescent="0.55000000000000004">
      <c r="A51" s="105">
        <f t="shared" si="4"/>
        <v>46</v>
      </c>
      <c r="B51" s="106" t="s">
        <v>297</v>
      </c>
      <c r="C51" s="107" t="s">
        <v>301</v>
      </c>
      <c r="D51" s="108"/>
      <c r="E51" s="108"/>
      <c r="F51" s="107"/>
      <c r="G51" s="109">
        <v>270</v>
      </c>
      <c r="H51" s="110">
        <v>26</v>
      </c>
      <c r="I51" s="110">
        <v>0</v>
      </c>
      <c r="J51" s="111">
        <f t="shared" si="0"/>
        <v>270</v>
      </c>
      <c r="K51" s="111">
        <v>0</v>
      </c>
      <c r="L51" s="111">
        <v>0</v>
      </c>
      <c r="M51" s="111">
        <v>0</v>
      </c>
      <c r="N51" s="111">
        <v>0</v>
      </c>
      <c r="O51" s="111">
        <f t="shared" si="1"/>
        <v>270</v>
      </c>
      <c r="P51" s="111">
        <v>0</v>
      </c>
      <c r="Q51" s="111">
        <v>0</v>
      </c>
      <c r="R51" s="111">
        <v>0</v>
      </c>
      <c r="S51" s="111">
        <v>0</v>
      </c>
      <c r="T51" s="112">
        <f t="shared" si="3"/>
        <v>270</v>
      </c>
      <c r="U51" s="53"/>
      <c r="W51" s="53"/>
      <c r="X51" s="118"/>
      <c r="Z51" s="168"/>
      <c r="AA51" s="123"/>
    </row>
    <row r="52" spans="1:27" ht="45.65" customHeight="1" x14ac:dyDescent="0.55000000000000004">
      <c r="A52" s="105">
        <f t="shared" si="4"/>
        <v>47</v>
      </c>
      <c r="B52" s="106" t="s">
        <v>304</v>
      </c>
      <c r="C52" s="107" t="s">
        <v>302</v>
      </c>
      <c r="D52" s="108"/>
      <c r="E52" s="108"/>
      <c r="F52" s="107"/>
      <c r="G52" s="109">
        <v>80</v>
      </c>
      <c r="H52" s="110">
        <v>26</v>
      </c>
      <c r="I52" s="110">
        <v>0</v>
      </c>
      <c r="J52" s="111">
        <f t="shared" si="0"/>
        <v>80</v>
      </c>
      <c r="K52" s="111">
        <v>0</v>
      </c>
      <c r="L52" s="111">
        <v>0</v>
      </c>
      <c r="M52" s="111">
        <v>0</v>
      </c>
      <c r="N52" s="111">
        <v>0</v>
      </c>
      <c r="O52" s="111">
        <f t="shared" si="1"/>
        <v>80</v>
      </c>
      <c r="P52" s="111">
        <v>0</v>
      </c>
      <c r="Q52" s="111">
        <v>0</v>
      </c>
      <c r="R52" s="111">
        <v>0</v>
      </c>
      <c r="S52" s="111">
        <v>0</v>
      </c>
      <c r="T52" s="112">
        <f t="shared" si="3"/>
        <v>80</v>
      </c>
      <c r="U52" s="53"/>
      <c r="W52" s="53"/>
      <c r="X52" s="118"/>
      <c r="Z52" s="168"/>
      <c r="AA52" s="123"/>
    </row>
    <row r="53" spans="1:27" ht="45.65" customHeight="1" x14ac:dyDescent="0.55000000000000004">
      <c r="A53" s="105">
        <f t="shared" si="4"/>
        <v>48</v>
      </c>
      <c r="B53" s="106" t="s">
        <v>282</v>
      </c>
      <c r="C53" s="120" t="s">
        <v>135</v>
      </c>
      <c r="D53" s="121" t="s">
        <v>184</v>
      </c>
      <c r="E53" s="121" t="s">
        <v>185</v>
      </c>
      <c r="F53" s="120" t="s">
        <v>165</v>
      </c>
      <c r="G53" s="106">
        <v>80</v>
      </c>
      <c r="H53" s="110">
        <v>26</v>
      </c>
      <c r="I53" s="110">
        <v>0</v>
      </c>
      <c r="J53" s="111">
        <f>G53/26*H53</f>
        <v>80</v>
      </c>
      <c r="K53" s="111">
        <v>0</v>
      </c>
      <c r="L53" s="111">
        <v>70</v>
      </c>
      <c r="M53" s="111">
        <v>0</v>
      </c>
      <c r="N53" s="111">
        <v>0</v>
      </c>
      <c r="O53" s="111">
        <f t="shared" si="1"/>
        <v>150</v>
      </c>
      <c r="P53" s="111">
        <v>0</v>
      </c>
      <c r="Q53" s="111">
        <v>4.62</v>
      </c>
      <c r="R53" s="111">
        <v>0</v>
      </c>
      <c r="S53" s="111">
        <v>0</v>
      </c>
      <c r="T53" s="112">
        <f>O53-P53-Q53-R53-S53</f>
        <v>145.38</v>
      </c>
      <c r="U53" s="53"/>
      <c r="V53" t="s">
        <v>241</v>
      </c>
      <c r="W53" s="53"/>
      <c r="X53" s="118"/>
      <c r="Z53" s="168">
        <v>80</v>
      </c>
      <c r="AA53" s="123">
        <f>T53-Z53</f>
        <v>65.38</v>
      </c>
    </row>
    <row r="54" spans="1:27" ht="45.65" customHeight="1" x14ac:dyDescent="0.55000000000000004">
      <c r="A54" s="105">
        <f t="shared" si="4"/>
        <v>49</v>
      </c>
      <c r="B54" s="106" t="s">
        <v>305</v>
      </c>
      <c r="C54" s="120" t="s">
        <v>303</v>
      </c>
      <c r="D54" s="121"/>
      <c r="E54" s="121"/>
      <c r="F54" s="120"/>
      <c r="G54" s="106">
        <v>250</v>
      </c>
      <c r="H54" s="110">
        <v>26</v>
      </c>
      <c r="I54" s="110">
        <v>0</v>
      </c>
      <c r="J54" s="111">
        <f>G54/26*H54</f>
        <v>250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250</v>
      </c>
      <c r="P54" s="111"/>
      <c r="Q54" s="111"/>
      <c r="R54" s="111"/>
      <c r="S54" s="111"/>
      <c r="T54" s="112">
        <f t="shared" ref="T54:T61" si="5">O54-P54-Q54-R54-S54</f>
        <v>250</v>
      </c>
      <c r="U54" s="53"/>
      <c r="W54" s="53"/>
      <c r="X54" s="118"/>
      <c r="Z54" s="168"/>
      <c r="AA54" s="123"/>
    </row>
    <row r="55" spans="1:27" ht="45.65" customHeight="1" x14ac:dyDescent="0.55000000000000004">
      <c r="A55" s="105">
        <f t="shared" si="4"/>
        <v>50</v>
      </c>
      <c r="B55" s="106" t="s">
        <v>237</v>
      </c>
      <c r="C55" s="107" t="s">
        <v>213</v>
      </c>
      <c r="D55" s="108" t="s">
        <v>177</v>
      </c>
      <c r="E55" s="108" t="s">
        <v>185</v>
      </c>
      <c r="F55" s="107"/>
      <c r="G55" s="141">
        <v>600</v>
      </c>
      <c r="H55" s="110">
        <v>26</v>
      </c>
      <c r="I55" s="110">
        <v>0</v>
      </c>
      <c r="J55" s="111">
        <f t="shared" si="0"/>
        <v>600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600</v>
      </c>
      <c r="P55" s="111">
        <v>0</v>
      </c>
      <c r="Q55" s="153">
        <v>0</v>
      </c>
      <c r="R55" s="111">
        <v>0</v>
      </c>
      <c r="S55" s="151">
        <v>176.3</v>
      </c>
      <c r="T55" s="112">
        <f t="shared" si="5"/>
        <v>423.7</v>
      </c>
      <c r="U55" s="53" t="s">
        <v>176</v>
      </c>
      <c r="V55" t="s">
        <v>197</v>
      </c>
      <c r="W55" s="53">
        <v>600</v>
      </c>
      <c r="X55" s="118">
        <v>-176.3</v>
      </c>
      <c r="Y55" t="s">
        <v>256</v>
      </c>
      <c r="Z55" s="168">
        <v>422.65</v>
      </c>
      <c r="AA55" s="123">
        <f t="shared" si="2"/>
        <v>1.0500000000000114</v>
      </c>
    </row>
    <row r="56" spans="1:27" ht="45.65" customHeight="1" x14ac:dyDescent="0.55000000000000004">
      <c r="A56" s="105">
        <f t="shared" si="4"/>
        <v>51</v>
      </c>
      <c r="B56" s="106" t="s">
        <v>238</v>
      </c>
      <c r="C56" s="107" t="s">
        <v>214</v>
      </c>
      <c r="D56" s="108" t="s">
        <v>177</v>
      </c>
      <c r="E56" s="108" t="s">
        <v>191</v>
      </c>
      <c r="F56" s="107" t="s">
        <v>295</v>
      </c>
      <c r="G56" s="141">
        <v>422.6</v>
      </c>
      <c r="H56" s="110">
        <v>26</v>
      </c>
      <c r="I56" s="110">
        <v>0</v>
      </c>
      <c r="J56" s="111">
        <f t="shared" si="0"/>
        <v>422.6</v>
      </c>
      <c r="K56" s="111">
        <v>0</v>
      </c>
      <c r="L56" s="111">
        <v>0</v>
      </c>
      <c r="M56" s="111">
        <v>0</v>
      </c>
      <c r="N56" s="111">
        <v>0</v>
      </c>
      <c r="O56" s="111">
        <f t="shared" si="1"/>
        <v>422.6</v>
      </c>
      <c r="P56" s="111">
        <v>0</v>
      </c>
      <c r="Q56" s="111">
        <v>195.05</v>
      </c>
      <c r="R56" s="111">
        <v>0</v>
      </c>
      <c r="S56" s="111">
        <v>0</v>
      </c>
      <c r="T56" s="112">
        <f t="shared" si="5"/>
        <v>227.55</v>
      </c>
      <c r="U56" s="53"/>
      <c r="V56" t="s">
        <v>197</v>
      </c>
      <c r="W56" s="53"/>
      <c r="X56" s="118"/>
      <c r="Y56" t="s">
        <v>256</v>
      </c>
    </row>
    <row r="57" spans="1:27" ht="45.65" customHeight="1" x14ac:dyDescent="0.55000000000000004">
      <c r="A57" s="105">
        <f t="shared" si="4"/>
        <v>52</v>
      </c>
      <c r="B57" s="106" t="s">
        <v>239</v>
      </c>
      <c r="C57" s="107" t="s">
        <v>175</v>
      </c>
      <c r="D57" s="108"/>
      <c r="E57" s="108" t="s">
        <v>192</v>
      </c>
      <c r="F57" s="107"/>
      <c r="G57" s="109">
        <v>300</v>
      </c>
      <c r="H57" s="110">
        <v>26</v>
      </c>
      <c r="I57" s="110">
        <v>0</v>
      </c>
      <c r="J57" s="111">
        <f t="shared" si="0"/>
        <v>300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si="1"/>
        <v>300</v>
      </c>
      <c r="P57" s="111">
        <v>0</v>
      </c>
      <c r="Q57" s="153">
        <v>0</v>
      </c>
      <c r="R57" s="111">
        <v>0</v>
      </c>
      <c r="S57" s="151">
        <v>300</v>
      </c>
      <c r="T57" s="112">
        <f t="shared" si="5"/>
        <v>0</v>
      </c>
      <c r="U57" s="53" t="s">
        <v>176</v>
      </c>
      <c r="V57" t="s">
        <v>197</v>
      </c>
      <c r="W57" s="53">
        <v>300</v>
      </c>
      <c r="X57" s="118">
        <v>-300</v>
      </c>
      <c r="Y57" t="s">
        <v>256</v>
      </c>
    </row>
    <row r="58" spans="1:27" ht="45.65" customHeight="1" x14ac:dyDescent="0.55000000000000004">
      <c r="A58" s="105">
        <f t="shared" si="4"/>
        <v>53</v>
      </c>
      <c r="B58" s="106" t="s">
        <v>240</v>
      </c>
      <c r="C58" s="107" t="s">
        <v>145</v>
      </c>
      <c r="D58" s="108"/>
      <c r="E58" s="108" t="s">
        <v>192</v>
      </c>
      <c r="F58" s="107"/>
      <c r="G58" s="109">
        <v>600</v>
      </c>
      <c r="H58" s="110">
        <v>26</v>
      </c>
      <c r="I58" s="110">
        <v>0</v>
      </c>
      <c r="J58" s="111">
        <f t="shared" si="0"/>
        <v>600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"/>
        <v>600</v>
      </c>
      <c r="P58" s="111">
        <v>0</v>
      </c>
      <c r="Q58" s="153">
        <v>0</v>
      </c>
      <c r="R58" s="111">
        <v>0</v>
      </c>
      <c r="S58" s="151">
        <v>600</v>
      </c>
      <c r="T58" s="112">
        <f t="shared" si="5"/>
        <v>0</v>
      </c>
      <c r="U58" s="52" t="s">
        <v>176</v>
      </c>
      <c r="V58" t="s">
        <v>197</v>
      </c>
      <c r="W58" s="53">
        <v>600</v>
      </c>
      <c r="X58" s="118">
        <v>-600</v>
      </c>
      <c r="Y58" t="s">
        <v>256</v>
      </c>
    </row>
    <row r="59" spans="1:27" ht="45.65" customHeight="1" x14ac:dyDescent="0.55000000000000004">
      <c r="A59" s="105">
        <f t="shared" si="4"/>
        <v>54</v>
      </c>
      <c r="B59" s="106"/>
      <c r="C59" s="107"/>
      <c r="D59" s="108"/>
      <c r="E59" s="108"/>
      <c r="F59" s="107"/>
      <c r="G59" s="109"/>
      <c r="H59" s="110">
        <v>26</v>
      </c>
      <c r="I59" s="110">
        <v>0</v>
      </c>
      <c r="J59" s="111">
        <f t="shared" si="0"/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"/>
        <v>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5"/>
        <v>0</v>
      </c>
      <c r="U59" s="51"/>
      <c r="W59" s="53"/>
      <c r="X59" s="118"/>
    </row>
    <row r="60" spans="1:27" ht="45.65" customHeight="1" x14ac:dyDescent="0.55000000000000004">
      <c r="A60" s="105">
        <f t="shared" si="4"/>
        <v>55</v>
      </c>
      <c r="B60" s="106"/>
      <c r="C60" s="107"/>
      <c r="D60" s="108"/>
      <c r="E60" s="108"/>
      <c r="F60" s="107"/>
      <c r="G60" s="109"/>
      <c r="H60" s="110">
        <v>26</v>
      </c>
      <c r="I60" s="110">
        <v>0</v>
      </c>
      <c r="J60" s="111">
        <f t="shared" si="0"/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f t="shared" si="1"/>
        <v>0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5"/>
        <v>0</v>
      </c>
      <c r="U60" s="51"/>
      <c r="W60" s="53"/>
      <c r="X60" s="118"/>
    </row>
    <row r="61" spans="1:27" ht="45.65" customHeight="1" thickBot="1" x14ac:dyDescent="0.6">
      <c r="A61" s="105">
        <f t="shared" si="4"/>
        <v>56</v>
      </c>
      <c r="B61" s="106"/>
      <c r="C61" s="144"/>
      <c r="D61" s="145"/>
      <c r="E61" s="145"/>
      <c r="F61" s="144"/>
      <c r="G61" s="146"/>
      <c r="H61" s="147">
        <v>26</v>
      </c>
      <c r="I61" s="110">
        <v>0</v>
      </c>
      <c r="J61" s="148">
        <f t="shared" si="0"/>
        <v>0</v>
      </c>
      <c r="K61" s="111">
        <v>0</v>
      </c>
      <c r="L61" s="148">
        <v>0</v>
      </c>
      <c r="M61" s="148">
        <v>0</v>
      </c>
      <c r="N61" s="148">
        <v>0</v>
      </c>
      <c r="O61" s="111">
        <f t="shared" si="1"/>
        <v>0</v>
      </c>
      <c r="P61" s="148">
        <v>0</v>
      </c>
      <c r="Q61" s="148">
        <v>0</v>
      </c>
      <c r="R61" s="148">
        <v>0</v>
      </c>
      <c r="S61" s="148">
        <v>0</v>
      </c>
      <c r="T61" s="112">
        <f t="shared" si="5"/>
        <v>0</v>
      </c>
      <c r="U61" s="54"/>
      <c r="W61" s="53"/>
      <c r="X61" s="118"/>
    </row>
    <row r="62" spans="1:27" ht="50.15" customHeight="1" thickBot="1" x14ac:dyDescent="0.45">
      <c r="A62" s="157" t="s">
        <v>0</v>
      </c>
      <c r="B62" s="158"/>
      <c r="C62" s="158"/>
      <c r="D62" s="158"/>
      <c r="E62" s="158"/>
      <c r="F62" s="158"/>
      <c r="G62" s="158"/>
      <c r="H62" s="158"/>
      <c r="I62" s="159"/>
      <c r="J62" s="116">
        <f t="shared" ref="J62:T62" si="6">SUBTOTAL(9,J6:J61)</f>
        <v>14497.6</v>
      </c>
      <c r="K62" s="116">
        <f t="shared" si="6"/>
        <v>0</v>
      </c>
      <c r="L62" s="116">
        <f t="shared" si="6"/>
        <v>130</v>
      </c>
      <c r="M62" s="116">
        <f t="shared" si="6"/>
        <v>0</v>
      </c>
      <c r="N62" s="116">
        <f t="shared" si="6"/>
        <v>300</v>
      </c>
      <c r="O62" s="116">
        <f t="shared" si="6"/>
        <v>14927.6</v>
      </c>
      <c r="P62" s="116">
        <f t="shared" si="6"/>
        <v>0</v>
      </c>
      <c r="Q62" s="116">
        <f t="shared" si="6"/>
        <v>438.55</v>
      </c>
      <c r="R62" s="116">
        <f t="shared" si="6"/>
        <v>150</v>
      </c>
      <c r="S62" s="152">
        <f t="shared" si="6"/>
        <v>1276.3</v>
      </c>
      <c r="T62" s="124">
        <f t="shared" si="6"/>
        <v>13062.75</v>
      </c>
      <c r="U62" s="116"/>
      <c r="W62" s="116">
        <f t="shared" ref="W62:X62" si="7">SUBTOTAL(9,W6:W61)</f>
        <v>2100</v>
      </c>
      <c r="X62" s="116">
        <f t="shared" si="7"/>
        <v>-1276.3</v>
      </c>
    </row>
    <row r="66" spans="15:18" x14ac:dyDescent="0.4">
      <c r="O66" s="123"/>
      <c r="R66" s="123"/>
    </row>
  </sheetData>
  <autoFilter ref="A5:X61" xr:uid="{00000000-0001-0000-0300-000000000000}"/>
  <mergeCells count="17"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  <mergeCell ref="T4:T5"/>
    <mergeCell ref="U4:U5"/>
  </mergeCells>
  <conditionalFormatting sqref="C6:C61">
    <cfRule type="duplicateValues" dxfId="2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EAE5-6B0A-4C1E-995C-9C2C9C1EAF8D}">
  <sheetPr filterMode="1">
    <pageSetUpPr fitToPage="1"/>
  </sheetPr>
  <dimension ref="A1:AC73"/>
  <sheetViews>
    <sheetView topLeftCell="K1" zoomScale="70" zoomScaleNormal="70" workbookViewId="0">
      <pane ySplit="5" topLeftCell="A71" activePane="bottomLeft" state="frozen"/>
      <selection activeCell="O61" sqref="O61:Z61"/>
      <selection pane="bottomLeft" activeCell="P22" sqref="P22"/>
    </sheetView>
  </sheetViews>
  <sheetFormatPr defaultRowHeight="14.6" x14ac:dyDescent="0.4"/>
  <cols>
    <col min="2" max="2" width="17.69140625" customWidth="1"/>
    <col min="3" max="3" width="45.3046875" style="4" customWidth="1"/>
    <col min="4" max="5" width="15.3828125" customWidth="1"/>
    <col min="6" max="6" width="16" customWidth="1"/>
    <col min="7" max="7" width="12.15234375" customWidth="1"/>
    <col min="8" max="8" width="12" customWidth="1"/>
    <col min="9" max="9" width="10.84375" customWidth="1"/>
    <col min="10" max="10" width="23.84375" customWidth="1"/>
    <col min="11" max="11" width="17.15234375" customWidth="1"/>
    <col min="12" max="12" width="14.53515625" customWidth="1"/>
    <col min="13" max="13" width="14" customWidth="1"/>
    <col min="14" max="14" width="14.3046875" customWidth="1"/>
    <col min="15" max="15" width="26.3046875" customWidth="1"/>
    <col min="16" max="16" width="17.3046875" customWidth="1"/>
    <col min="17" max="17" width="14.3828125" customWidth="1"/>
    <col min="18" max="18" width="15.3046875" customWidth="1"/>
    <col min="19" max="19" width="14.69140625" customWidth="1"/>
    <col min="20" max="20" width="21.15234375" customWidth="1"/>
    <col min="21" max="21" width="22.53515625" customWidth="1"/>
    <col min="22" max="22" width="10.53515625" customWidth="1"/>
    <col min="23" max="23" width="18.3046875" customWidth="1"/>
    <col min="24" max="24" width="17" customWidth="1"/>
    <col min="26" max="26" width="12.15234375" style="166" customWidth="1"/>
    <col min="27" max="27" width="14.3828125" customWidth="1"/>
  </cols>
  <sheetData>
    <row r="1" spans="1:27" ht="51.65" customHeight="1" thickBot="1" x14ac:dyDescent="0.45">
      <c r="A1" s="259" t="s">
        <v>27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</row>
    <row r="2" spans="1:27" ht="53.15" customHeight="1" thickBot="1" x14ac:dyDescent="0.45">
      <c r="A2" s="247" t="s">
        <v>261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9"/>
    </row>
    <row r="3" spans="1:27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9"/>
    </row>
    <row r="4" spans="1:27" s="71" customFormat="1" ht="30" customHeight="1" thickBot="1" x14ac:dyDescent="0.55000000000000004">
      <c r="A4" s="225" t="s">
        <v>2</v>
      </c>
      <c r="B4" s="226" t="s">
        <v>23</v>
      </c>
      <c r="C4" s="226" t="s">
        <v>4</v>
      </c>
      <c r="D4" s="227" t="s">
        <v>6</v>
      </c>
      <c r="E4" s="150"/>
      <c r="F4" s="226" t="s">
        <v>5</v>
      </c>
      <c r="G4" s="226" t="s">
        <v>7</v>
      </c>
      <c r="H4" s="226" t="s">
        <v>21</v>
      </c>
      <c r="I4" s="226" t="s">
        <v>8</v>
      </c>
      <c r="J4" s="228" t="s">
        <v>3</v>
      </c>
      <c r="K4" s="228"/>
      <c r="L4" s="228"/>
      <c r="M4" s="228"/>
      <c r="N4" s="228"/>
      <c r="O4" s="228"/>
      <c r="P4" s="228" t="s">
        <v>1</v>
      </c>
      <c r="Q4" s="228"/>
      <c r="R4" s="228"/>
      <c r="S4" s="228"/>
      <c r="T4" s="226" t="s">
        <v>19</v>
      </c>
      <c r="U4" s="226" t="s">
        <v>20</v>
      </c>
      <c r="W4" s="226" t="s">
        <v>77</v>
      </c>
      <c r="X4" s="226" t="s">
        <v>78</v>
      </c>
      <c r="Z4" s="167"/>
    </row>
    <row r="5" spans="1:27" s="71" customFormat="1" ht="88.5" customHeight="1" x14ac:dyDescent="0.5">
      <c r="A5" s="225"/>
      <c r="B5" s="226"/>
      <c r="C5" s="226"/>
      <c r="D5" s="227"/>
      <c r="E5" s="150"/>
      <c r="F5" s="225"/>
      <c r="G5" s="226"/>
      <c r="H5" s="226"/>
      <c r="I5" s="226"/>
      <c r="J5" s="104" t="s">
        <v>9</v>
      </c>
      <c r="K5" s="104" t="s">
        <v>10</v>
      </c>
      <c r="L5" s="104" t="s">
        <v>11</v>
      </c>
      <c r="M5" s="104" t="s">
        <v>12</v>
      </c>
      <c r="N5" s="104" t="s">
        <v>14</v>
      </c>
      <c r="O5" s="104" t="s">
        <v>15</v>
      </c>
      <c r="P5" s="104" t="s">
        <v>16</v>
      </c>
      <c r="Q5" s="104" t="s">
        <v>17</v>
      </c>
      <c r="R5" s="104" t="s">
        <v>18</v>
      </c>
      <c r="S5" s="104" t="s">
        <v>14</v>
      </c>
      <c r="T5" s="226"/>
      <c r="U5" s="226"/>
      <c r="V5" s="160" t="s">
        <v>242</v>
      </c>
      <c r="W5" s="226"/>
      <c r="X5" s="226"/>
      <c r="Z5" s="167"/>
    </row>
    <row r="6" spans="1:27" ht="45.65" hidden="1" customHeight="1" x14ac:dyDescent="0.55000000000000004">
      <c r="A6" s="105">
        <v>1</v>
      </c>
      <c r="B6" s="106" t="s">
        <v>262</v>
      </c>
      <c r="C6" s="120" t="s">
        <v>97</v>
      </c>
      <c r="D6" s="121" t="s">
        <v>177</v>
      </c>
      <c r="E6" s="121" t="s">
        <v>185</v>
      </c>
      <c r="F6" s="120"/>
      <c r="G6" s="106">
        <v>1000</v>
      </c>
      <c r="H6" s="110">
        <v>26</v>
      </c>
      <c r="I6" s="110">
        <v>0</v>
      </c>
      <c r="J6" s="111">
        <f t="shared" ref="J6:J68" si="0">G6/26*H6</f>
        <v>1000</v>
      </c>
      <c r="K6" s="111">
        <f>J6/26*I6</f>
        <v>0</v>
      </c>
      <c r="L6" s="111">
        <v>0</v>
      </c>
      <c r="M6" s="111">
        <v>0</v>
      </c>
      <c r="N6" s="111">
        <v>0</v>
      </c>
      <c r="O6" s="111">
        <f>J6+K6+L6+M6+N6</f>
        <v>1000</v>
      </c>
      <c r="P6" s="111">
        <v>0</v>
      </c>
      <c r="Q6" s="111">
        <v>0</v>
      </c>
      <c r="R6" s="111">
        <v>0</v>
      </c>
      <c r="S6" s="111">
        <v>0</v>
      </c>
      <c r="T6" s="112">
        <f>O6-P6-Q6-R6-S6</f>
        <v>1000</v>
      </c>
      <c r="U6" s="51">
        <f>VLOOKUP(B6:B63,[1]Sheet1!$E:$J,6,0)</f>
        <v>1000</v>
      </c>
      <c r="V6" t="s">
        <v>241</v>
      </c>
      <c r="W6" s="51"/>
      <c r="X6" s="51"/>
      <c r="Y6" t="s">
        <v>241</v>
      </c>
      <c r="Z6" s="168">
        <v>1000</v>
      </c>
      <c r="AA6" s="123">
        <f>T6-Z6</f>
        <v>0</v>
      </c>
    </row>
    <row r="7" spans="1:27" ht="45.65" customHeight="1" x14ac:dyDescent="0.55000000000000004">
      <c r="A7" s="105">
        <f>A6+1</f>
        <v>2</v>
      </c>
      <c r="B7" s="106" t="s">
        <v>263</v>
      </c>
      <c r="C7" s="120" t="s">
        <v>244</v>
      </c>
      <c r="D7" s="121" t="s">
        <v>178</v>
      </c>
      <c r="E7" s="121" t="s">
        <v>186</v>
      </c>
      <c r="F7" s="120"/>
      <c r="G7" s="106">
        <v>150</v>
      </c>
      <c r="H7" s="110">
        <v>26</v>
      </c>
      <c r="I7" s="110">
        <v>0</v>
      </c>
      <c r="J7" s="111">
        <f t="shared" si="0"/>
        <v>150</v>
      </c>
      <c r="K7" s="111">
        <v>0</v>
      </c>
      <c r="L7" s="111">
        <v>0</v>
      </c>
      <c r="M7" s="111">
        <v>0</v>
      </c>
      <c r="N7" s="111">
        <v>0</v>
      </c>
      <c r="O7" s="111">
        <f t="shared" ref="O7:O68" si="1">J7+K7+L7+M7+N7</f>
        <v>150</v>
      </c>
      <c r="P7" s="111">
        <v>0</v>
      </c>
      <c r="Q7" s="111">
        <v>5.77</v>
      </c>
      <c r="R7" s="111">
        <v>0</v>
      </c>
      <c r="S7" s="111">
        <v>0</v>
      </c>
      <c r="T7" s="112">
        <f>O7-P7-Q7-R7-S7</f>
        <v>144.22999999999999</v>
      </c>
      <c r="U7" s="51">
        <f>VLOOKUP(B7:B64,[1]Sheet1!$E:$J,6,0)</f>
        <v>144.22999999999999</v>
      </c>
      <c r="V7" t="s">
        <v>241</v>
      </c>
      <c r="W7" s="51"/>
      <c r="X7" s="51"/>
      <c r="Z7" s="168">
        <v>69.23</v>
      </c>
      <c r="AA7" s="123">
        <f t="shared" ref="AA7:AA62" si="2">T7-Z7</f>
        <v>74.999999999999986</v>
      </c>
    </row>
    <row r="8" spans="1:27" ht="45.65" hidden="1" customHeight="1" x14ac:dyDescent="0.55000000000000004">
      <c r="A8" s="105">
        <f t="shared" ref="A8:A13" si="3">A7+1</f>
        <v>3</v>
      </c>
      <c r="B8" s="106" t="s">
        <v>216</v>
      </c>
      <c r="C8" s="122" t="s">
        <v>198</v>
      </c>
      <c r="D8" s="121" t="s">
        <v>177</v>
      </c>
      <c r="E8" s="121" t="s">
        <v>185</v>
      </c>
      <c r="F8" s="122" t="s">
        <v>146</v>
      </c>
      <c r="G8" s="113">
        <v>410</v>
      </c>
      <c r="H8" s="110">
        <v>26</v>
      </c>
      <c r="I8" s="110">
        <v>0</v>
      </c>
      <c r="J8" s="111">
        <f t="shared" si="0"/>
        <v>410</v>
      </c>
      <c r="K8" s="111">
        <v>0</v>
      </c>
      <c r="L8" s="111">
        <v>0</v>
      </c>
      <c r="M8" s="111">
        <v>0</v>
      </c>
      <c r="N8" s="111">
        <v>0</v>
      </c>
      <c r="O8" s="111">
        <f t="shared" si="1"/>
        <v>410</v>
      </c>
      <c r="P8" s="111">
        <v>0</v>
      </c>
      <c r="Q8" s="111">
        <v>0</v>
      </c>
      <c r="R8" s="111">
        <v>0</v>
      </c>
      <c r="S8" s="111">
        <v>0</v>
      </c>
      <c r="T8" s="112">
        <f t="shared" ref="T8:T68" si="4">O8-P8-Q8-R8-S8</f>
        <v>410</v>
      </c>
      <c r="U8" s="51">
        <f>VLOOKUP(B8:B65,[1]Sheet1!$E:$J,6,0)</f>
        <v>0</v>
      </c>
      <c r="V8" t="s">
        <v>197</v>
      </c>
      <c r="X8" s="52"/>
      <c r="Y8" t="s">
        <v>256</v>
      </c>
      <c r="Z8" s="168">
        <v>410</v>
      </c>
      <c r="AA8" s="123">
        <f t="shared" si="2"/>
        <v>0</v>
      </c>
    </row>
    <row r="9" spans="1:27" ht="45.65" hidden="1" customHeight="1" x14ac:dyDescent="0.55000000000000004">
      <c r="A9" s="105">
        <f t="shared" si="3"/>
        <v>4</v>
      </c>
      <c r="B9" s="106" t="s">
        <v>264</v>
      </c>
      <c r="C9" s="120" t="s">
        <v>245</v>
      </c>
      <c r="D9" s="121" t="s">
        <v>177</v>
      </c>
      <c r="E9" s="121" t="s">
        <v>185</v>
      </c>
      <c r="F9" s="120" t="s">
        <v>147</v>
      </c>
      <c r="G9" s="106">
        <v>255</v>
      </c>
      <c r="H9" s="110">
        <v>26</v>
      </c>
      <c r="I9" s="110">
        <v>0</v>
      </c>
      <c r="J9" s="111">
        <f t="shared" si="0"/>
        <v>255.00000000000003</v>
      </c>
      <c r="K9" s="111">
        <v>0</v>
      </c>
      <c r="L9" s="111">
        <v>0</v>
      </c>
      <c r="M9" s="111">
        <v>0</v>
      </c>
      <c r="N9" s="111">
        <v>0</v>
      </c>
      <c r="O9" s="111">
        <f t="shared" si="1"/>
        <v>255.00000000000003</v>
      </c>
      <c r="P9" s="111">
        <v>0</v>
      </c>
      <c r="Q9" s="111">
        <v>0</v>
      </c>
      <c r="R9" s="111">
        <v>0</v>
      </c>
      <c r="S9" s="111">
        <v>0</v>
      </c>
      <c r="T9" s="112">
        <f t="shared" si="4"/>
        <v>255.00000000000003</v>
      </c>
      <c r="U9" s="51">
        <f>VLOOKUP(B9:B66,[1]Sheet1!$E:$J,6,0)</f>
        <v>255.00000000000003</v>
      </c>
      <c r="V9" t="s">
        <v>241</v>
      </c>
      <c r="W9" s="53"/>
      <c r="X9" s="53"/>
      <c r="Z9" s="168">
        <v>255</v>
      </c>
      <c r="AA9" s="123">
        <f t="shared" si="2"/>
        <v>0</v>
      </c>
    </row>
    <row r="10" spans="1:27" ht="45.65" hidden="1" customHeight="1" x14ac:dyDescent="0.55000000000000004">
      <c r="A10" s="105">
        <f t="shared" si="3"/>
        <v>5</v>
      </c>
      <c r="B10" s="106" t="s">
        <v>265</v>
      </c>
      <c r="C10" s="120" t="s">
        <v>246</v>
      </c>
      <c r="D10" s="121" t="s">
        <v>179</v>
      </c>
      <c r="E10" s="121" t="s">
        <v>185</v>
      </c>
      <c r="F10" s="120" t="s">
        <v>148</v>
      </c>
      <c r="G10" s="106">
        <v>150</v>
      </c>
      <c r="H10" s="110">
        <v>26</v>
      </c>
      <c r="I10" s="110">
        <v>0</v>
      </c>
      <c r="J10" s="111">
        <f t="shared" si="0"/>
        <v>150</v>
      </c>
      <c r="K10" s="111">
        <v>0</v>
      </c>
      <c r="L10" s="111">
        <v>0</v>
      </c>
      <c r="M10" s="111">
        <v>0</v>
      </c>
      <c r="N10" s="111">
        <v>0</v>
      </c>
      <c r="O10" s="111">
        <f t="shared" si="1"/>
        <v>150</v>
      </c>
      <c r="P10" s="111">
        <v>0</v>
      </c>
      <c r="Q10" s="111">
        <v>0</v>
      </c>
      <c r="R10" s="111">
        <v>0</v>
      </c>
      <c r="S10" s="111">
        <v>0</v>
      </c>
      <c r="T10" s="112">
        <f t="shared" si="4"/>
        <v>150</v>
      </c>
      <c r="U10" s="51">
        <f>VLOOKUP(B10:B67,[1]Sheet1!$E:$J,6,0)</f>
        <v>150</v>
      </c>
      <c r="V10" t="s">
        <v>241</v>
      </c>
      <c r="W10" s="53"/>
      <c r="X10" s="53"/>
      <c r="Z10" s="168">
        <v>150</v>
      </c>
      <c r="AA10" s="123">
        <f t="shared" si="2"/>
        <v>0</v>
      </c>
    </row>
    <row r="11" spans="1:27" ht="45.65" customHeight="1" x14ac:dyDescent="0.55000000000000004">
      <c r="A11" s="105">
        <f t="shared" si="3"/>
        <v>6</v>
      </c>
      <c r="B11" s="106" t="s">
        <v>266</v>
      </c>
      <c r="C11" s="120" t="s">
        <v>101</v>
      </c>
      <c r="D11" s="121" t="s">
        <v>180</v>
      </c>
      <c r="E11" s="121" t="s">
        <v>187</v>
      </c>
      <c r="F11" s="120"/>
      <c r="G11" s="106">
        <v>430</v>
      </c>
      <c r="H11" s="110">
        <v>26</v>
      </c>
      <c r="I11" s="110">
        <v>0</v>
      </c>
      <c r="J11" s="111">
        <f t="shared" si="0"/>
        <v>430.00000000000006</v>
      </c>
      <c r="K11" s="111">
        <v>0</v>
      </c>
      <c r="L11" s="111">
        <v>0</v>
      </c>
      <c r="M11" s="111">
        <v>0</v>
      </c>
      <c r="N11" s="111">
        <v>0</v>
      </c>
      <c r="O11" s="111">
        <f t="shared" si="1"/>
        <v>430.00000000000006</v>
      </c>
      <c r="P11" s="111">
        <v>0</v>
      </c>
      <c r="Q11" s="111">
        <v>165.38</v>
      </c>
      <c r="R11" s="111">
        <v>0</v>
      </c>
      <c r="S11" s="111">
        <v>0</v>
      </c>
      <c r="T11" s="112">
        <f t="shared" si="4"/>
        <v>264.62000000000006</v>
      </c>
      <c r="U11" s="51">
        <f>VLOOKUP(B11:B68,[1]Sheet1!$E:$J,6,0)</f>
        <v>264.62000000000006</v>
      </c>
      <c r="V11" t="s">
        <v>241</v>
      </c>
      <c r="W11" s="53"/>
      <c r="X11" s="53"/>
      <c r="Z11" s="168">
        <v>430</v>
      </c>
      <c r="AA11" s="123">
        <f t="shared" si="2"/>
        <v>-165.37999999999994</v>
      </c>
    </row>
    <row r="12" spans="1:27" ht="45.65" hidden="1" customHeight="1" x14ac:dyDescent="0.55000000000000004">
      <c r="A12" s="105">
        <f t="shared" si="3"/>
        <v>7</v>
      </c>
      <c r="B12" s="106" t="s">
        <v>217</v>
      </c>
      <c r="C12" s="120" t="s">
        <v>199</v>
      </c>
      <c r="D12" s="121" t="s">
        <v>177</v>
      </c>
      <c r="E12" s="121" t="s">
        <v>185</v>
      </c>
      <c r="F12" s="120" t="s">
        <v>87</v>
      </c>
      <c r="G12" s="106">
        <v>240</v>
      </c>
      <c r="H12" s="110">
        <v>26</v>
      </c>
      <c r="I12" s="110">
        <v>0</v>
      </c>
      <c r="J12" s="111">
        <f t="shared" si="0"/>
        <v>239.99999999999997</v>
      </c>
      <c r="K12" s="111">
        <v>0</v>
      </c>
      <c r="L12" s="111">
        <v>0</v>
      </c>
      <c r="M12" s="111">
        <v>0</v>
      </c>
      <c r="N12" s="111">
        <v>0</v>
      </c>
      <c r="O12" s="111">
        <f t="shared" si="1"/>
        <v>239.99999999999997</v>
      </c>
      <c r="P12" s="111">
        <v>0</v>
      </c>
      <c r="Q12" s="111">
        <v>0</v>
      </c>
      <c r="R12" s="111">
        <v>50</v>
      </c>
      <c r="S12" s="111">
        <v>0</v>
      </c>
      <c r="T12" s="112">
        <f t="shared" si="4"/>
        <v>189.99999999999997</v>
      </c>
      <c r="U12" s="51">
        <f>VLOOKUP(B12:B69,[1]Sheet1!$E:$J,6,0)</f>
        <v>189.99999999999997</v>
      </c>
      <c r="V12" t="s">
        <v>197</v>
      </c>
      <c r="W12" s="53"/>
      <c r="X12" s="53"/>
      <c r="Y12" t="s">
        <v>256</v>
      </c>
      <c r="Z12" s="168">
        <v>190</v>
      </c>
      <c r="AA12" s="123">
        <f t="shared" si="2"/>
        <v>0</v>
      </c>
    </row>
    <row r="13" spans="1:27" ht="45.65" hidden="1" customHeight="1" x14ac:dyDescent="0.55000000000000004">
      <c r="A13" s="105">
        <f t="shared" si="3"/>
        <v>8</v>
      </c>
      <c r="B13" s="106" t="s">
        <v>218</v>
      </c>
      <c r="C13" s="120" t="s">
        <v>103</v>
      </c>
      <c r="D13" s="121" t="s">
        <v>177</v>
      </c>
      <c r="E13" s="121" t="s">
        <v>186</v>
      </c>
      <c r="F13" s="120" t="s">
        <v>149</v>
      </c>
      <c r="G13" s="106">
        <v>330</v>
      </c>
      <c r="H13" s="110">
        <v>26</v>
      </c>
      <c r="I13" s="110">
        <v>0</v>
      </c>
      <c r="J13" s="111">
        <f t="shared" si="0"/>
        <v>330</v>
      </c>
      <c r="K13" s="111">
        <v>0</v>
      </c>
      <c r="L13" s="111">
        <v>40</v>
      </c>
      <c r="M13" s="111">
        <v>0</v>
      </c>
      <c r="N13" s="111">
        <v>0</v>
      </c>
      <c r="O13" s="111">
        <f t="shared" si="1"/>
        <v>370</v>
      </c>
      <c r="P13" s="111">
        <v>0</v>
      </c>
      <c r="Q13" s="111">
        <v>0</v>
      </c>
      <c r="R13" s="111">
        <v>0</v>
      </c>
      <c r="S13" s="111">
        <v>0</v>
      </c>
      <c r="T13" s="112">
        <f t="shared" si="4"/>
        <v>370</v>
      </c>
      <c r="U13" s="51">
        <f>VLOOKUP(B13:B70,[1]Sheet1!$E:$J,6,0)</f>
        <v>370</v>
      </c>
      <c r="V13" t="s">
        <v>197</v>
      </c>
      <c r="W13" s="53"/>
      <c r="X13" s="53"/>
      <c r="Y13" t="s">
        <v>256</v>
      </c>
      <c r="Z13" s="168">
        <v>330</v>
      </c>
      <c r="AA13" s="123">
        <f t="shared" si="2"/>
        <v>40</v>
      </c>
    </row>
    <row r="14" spans="1:27" s="175" customFormat="1" ht="45.65" hidden="1" customHeight="1" x14ac:dyDescent="0.55000000000000004">
      <c r="A14" s="169">
        <v>9</v>
      </c>
      <c r="B14" s="170" t="s">
        <v>267</v>
      </c>
      <c r="C14" s="178" t="s">
        <v>104</v>
      </c>
      <c r="D14" s="179" t="s">
        <v>178</v>
      </c>
      <c r="E14" s="179" t="s">
        <v>185</v>
      </c>
      <c r="F14" s="178" t="s">
        <v>89</v>
      </c>
      <c r="G14" s="180">
        <v>480</v>
      </c>
      <c r="H14" s="181">
        <v>0</v>
      </c>
      <c r="I14" s="181"/>
      <c r="J14" s="182">
        <f t="shared" si="0"/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f t="shared" si="1"/>
        <v>0</v>
      </c>
      <c r="P14" s="182">
        <v>0</v>
      </c>
      <c r="Q14" s="182">
        <v>0</v>
      </c>
      <c r="R14" s="182">
        <v>0</v>
      </c>
      <c r="S14" s="182">
        <v>0</v>
      </c>
      <c r="T14" s="183">
        <f t="shared" si="4"/>
        <v>0</v>
      </c>
      <c r="U14" s="174"/>
      <c r="V14" s="175" t="s">
        <v>241</v>
      </c>
      <c r="W14" s="174"/>
      <c r="X14" s="174"/>
      <c r="Z14" s="176">
        <v>0</v>
      </c>
      <c r="AA14" s="177">
        <f t="shared" si="2"/>
        <v>0</v>
      </c>
    </row>
    <row r="15" spans="1:27" ht="45.65" hidden="1" customHeight="1" x14ac:dyDescent="0.55000000000000004">
      <c r="A15" s="105">
        <f t="shared" ref="A15:A23" si="5">A14+1</f>
        <v>10</v>
      </c>
      <c r="B15" s="106" t="s">
        <v>219</v>
      </c>
      <c r="C15" s="120" t="s">
        <v>105</v>
      </c>
      <c r="D15" s="121" t="s">
        <v>177</v>
      </c>
      <c r="E15" s="121" t="s">
        <v>185</v>
      </c>
      <c r="F15" s="120" t="s">
        <v>150</v>
      </c>
      <c r="G15" s="106">
        <v>200</v>
      </c>
      <c r="H15" s="110">
        <v>26</v>
      </c>
      <c r="I15" s="110">
        <v>0</v>
      </c>
      <c r="J15" s="111">
        <f t="shared" si="0"/>
        <v>200</v>
      </c>
      <c r="K15" s="111">
        <v>0</v>
      </c>
      <c r="L15" s="111">
        <v>0</v>
      </c>
      <c r="M15" s="111">
        <v>0</v>
      </c>
      <c r="N15" s="111">
        <v>0</v>
      </c>
      <c r="O15" s="111">
        <f t="shared" si="1"/>
        <v>200</v>
      </c>
      <c r="P15" s="111">
        <v>0</v>
      </c>
      <c r="Q15" s="111">
        <v>0</v>
      </c>
      <c r="R15" s="111">
        <v>0</v>
      </c>
      <c r="S15" s="111">
        <v>0</v>
      </c>
      <c r="T15" s="112">
        <f t="shared" si="4"/>
        <v>200</v>
      </c>
      <c r="U15" s="51">
        <f>VLOOKUP(B15:B72,[1]Sheet1!$E:$J,6,0)</f>
        <v>200</v>
      </c>
      <c r="V15" t="s">
        <v>197</v>
      </c>
      <c r="W15" s="53"/>
      <c r="X15" s="53"/>
      <c r="Y15" t="s">
        <v>256</v>
      </c>
      <c r="Z15" s="168">
        <v>200</v>
      </c>
      <c r="AA15" s="123">
        <f t="shared" si="2"/>
        <v>0</v>
      </c>
    </row>
    <row r="16" spans="1:27" ht="45.65" hidden="1" customHeight="1" x14ac:dyDescent="0.55000000000000004">
      <c r="A16" s="105">
        <f t="shared" si="5"/>
        <v>11</v>
      </c>
      <c r="B16" s="106" t="s">
        <v>220</v>
      </c>
      <c r="C16" s="120" t="s">
        <v>200</v>
      </c>
      <c r="D16" s="121" t="s">
        <v>177</v>
      </c>
      <c r="E16" s="121" t="s">
        <v>188</v>
      </c>
      <c r="F16" s="120" t="s">
        <v>151</v>
      </c>
      <c r="G16" s="106">
        <v>430</v>
      </c>
      <c r="H16" s="110">
        <v>26</v>
      </c>
      <c r="I16" s="110">
        <v>0</v>
      </c>
      <c r="J16" s="111">
        <f t="shared" si="0"/>
        <v>430.00000000000006</v>
      </c>
      <c r="K16" s="111">
        <v>0</v>
      </c>
      <c r="L16" s="111">
        <v>0</v>
      </c>
      <c r="M16" s="111">
        <v>0</v>
      </c>
      <c r="N16" s="111">
        <v>0</v>
      </c>
      <c r="O16" s="111">
        <f t="shared" si="1"/>
        <v>430.00000000000006</v>
      </c>
      <c r="P16" s="111">
        <v>0</v>
      </c>
      <c r="Q16" s="111">
        <v>0</v>
      </c>
      <c r="R16" s="111">
        <v>0</v>
      </c>
      <c r="S16" s="111">
        <v>0</v>
      </c>
      <c r="T16" s="112">
        <f t="shared" si="4"/>
        <v>430.00000000000006</v>
      </c>
      <c r="U16" s="51">
        <f>VLOOKUP(B16:B73,[1]Sheet1!$E:$J,6,0)</f>
        <v>430.00000000000006</v>
      </c>
      <c r="V16" t="s">
        <v>197</v>
      </c>
      <c r="W16" s="53"/>
      <c r="X16" s="53"/>
      <c r="Y16" t="s">
        <v>256</v>
      </c>
      <c r="Z16" s="168">
        <v>430</v>
      </c>
      <c r="AA16" s="123">
        <f t="shared" si="2"/>
        <v>0</v>
      </c>
    </row>
    <row r="17" spans="1:29" ht="45.65" hidden="1" customHeight="1" x14ac:dyDescent="0.55000000000000004">
      <c r="A17" s="105">
        <f t="shared" si="5"/>
        <v>12</v>
      </c>
      <c r="B17" s="106" t="s">
        <v>221</v>
      </c>
      <c r="C17" s="120" t="s">
        <v>201</v>
      </c>
      <c r="D17" s="121" t="s">
        <v>177</v>
      </c>
      <c r="E17" s="121" t="s">
        <v>185</v>
      </c>
      <c r="F17" s="120" t="s">
        <v>152</v>
      </c>
      <c r="G17" s="106">
        <v>450</v>
      </c>
      <c r="H17" s="110">
        <v>26</v>
      </c>
      <c r="I17" s="110">
        <v>0</v>
      </c>
      <c r="J17" s="111">
        <f t="shared" si="0"/>
        <v>450</v>
      </c>
      <c r="K17" s="111">
        <v>0</v>
      </c>
      <c r="L17" s="111">
        <v>0</v>
      </c>
      <c r="M17" s="111">
        <v>0</v>
      </c>
      <c r="N17" s="111">
        <v>0</v>
      </c>
      <c r="O17" s="111">
        <f t="shared" si="1"/>
        <v>450</v>
      </c>
      <c r="P17" s="111">
        <v>0</v>
      </c>
      <c r="Q17" s="111">
        <v>0</v>
      </c>
      <c r="R17" s="111">
        <v>50</v>
      </c>
      <c r="S17" s="111">
        <v>0</v>
      </c>
      <c r="T17" s="112">
        <f t="shared" si="4"/>
        <v>400</v>
      </c>
      <c r="U17" s="51">
        <f>VLOOKUP(B17:B74,[1]Sheet1!$E:$J,6,0)</f>
        <v>400</v>
      </c>
      <c r="V17" t="s">
        <v>197</v>
      </c>
      <c r="W17" s="53"/>
      <c r="X17" s="53"/>
      <c r="Y17" t="s">
        <v>256</v>
      </c>
      <c r="Z17" s="168">
        <v>395.67</v>
      </c>
      <c r="AA17" s="123">
        <f t="shared" si="2"/>
        <v>4.3299999999999841</v>
      </c>
    </row>
    <row r="18" spans="1:29" ht="45.65" hidden="1" customHeight="1" x14ac:dyDescent="0.55000000000000004">
      <c r="A18" s="105">
        <f t="shared" si="5"/>
        <v>13</v>
      </c>
      <c r="B18" s="106" t="s">
        <v>222</v>
      </c>
      <c r="C18" s="120" t="s">
        <v>202</v>
      </c>
      <c r="D18" s="121" t="s">
        <v>178</v>
      </c>
      <c r="E18" s="121" t="s">
        <v>185</v>
      </c>
      <c r="F18" s="120" t="s">
        <v>153</v>
      </c>
      <c r="G18" s="106">
        <v>300</v>
      </c>
      <c r="H18" s="110">
        <v>26</v>
      </c>
      <c r="I18" s="110">
        <v>0</v>
      </c>
      <c r="J18" s="111">
        <f t="shared" si="0"/>
        <v>300</v>
      </c>
      <c r="K18" s="111">
        <v>0</v>
      </c>
      <c r="L18" s="111">
        <v>0</v>
      </c>
      <c r="M18" s="111">
        <v>0</v>
      </c>
      <c r="N18" s="126">
        <v>300</v>
      </c>
      <c r="O18" s="111">
        <f t="shared" si="1"/>
        <v>600</v>
      </c>
      <c r="P18" s="111">
        <v>0</v>
      </c>
      <c r="Q18" s="111">
        <v>0</v>
      </c>
      <c r="R18" s="111">
        <v>0</v>
      </c>
      <c r="S18" s="111">
        <v>0</v>
      </c>
      <c r="T18" s="112">
        <f t="shared" si="4"/>
        <v>600</v>
      </c>
      <c r="U18" s="51">
        <f>VLOOKUP(B18:B75,[1]Sheet1!$E:$J,6,0)</f>
        <v>600</v>
      </c>
      <c r="V18" t="s">
        <v>197</v>
      </c>
      <c r="W18" s="53"/>
      <c r="X18" s="53"/>
      <c r="Y18" t="s">
        <v>256</v>
      </c>
      <c r="Z18" s="168">
        <v>600</v>
      </c>
      <c r="AA18" s="123">
        <f t="shared" si="2"/>
        <v>0</v>
      </c>
    </row>
    <row r="19" spans="1:29" ht="45.65" hidden="1" customHeight="1" x14ac:dyDescent="0.55000000000000004">
      <c r="A19" s="105">
        <f t="shared" si="5"/>
        <v>14</v>
      </c>
      <c r="B19" s="106" t="s">
        <v>223</v>
      </c>
      <c r="C19" s="120" t="s">
        <v>109</v>
      </c>
      <c r="D19" s="121" t="s">
        <v>181</v>
      </c>
      <c r="E19" s="121" t="s">
        <v>185</v>
      </c>
      <c r="F19" s="120" t="s">
        <v>154</v>
      </c>
      <c r="G19" s="106">
        <v>300</v>
      </c>
      <c r="H19" s="110">
        <v>26</v>
      </c>
      <c r="I19" s="110">
        <v>0</v>
      </c>
      <c r="J19" s="111">
        <f t="shared" si="0"/>
        <v>300</v>
      </c>
      <c r="K19" s="111">
        <v>0</v>
      </c>
      <c r="L19" s="111">
        <v>0</v>
      </c>
      <c r="M19" s="111">
        <v>0</v>
      </c>
      <c r="N19" s="111">
        <v>0</v>
      </c>
      <c r="O19" s="111">
        <f t="shared" si="1"/>
        <v>300</v>
      </c>
      <c r="P19" s="111">
        <v>0</v>
      </c>
      <c r="Q19" s="111">
        <v>0</v>
      </c>
      <c r="R19" s="111">
        <v>0</v>
      </c>
      <c r="S19" s="111">
        <v>0</v>
      </c>
      <c r="T19" s="112">
        <f t="shared" si="4"/>
        <v>300</v>
      </c>
      <c r="U19" s="51">
        <f>VLOOKUP(B19:B76,[1]Sheet1!$E:$J,6,0)</f>
        <v>300</v>
      </c>
      <c r="V19" t="s">
        <v>197</v>
      </c>
      <c r="W19" s="53"/>
      <c r="X19" s="53"/>
      <c r="Y19" t="s">
        <v>256</v>
      </c>
      <c r="Z19" s="168">
        <v>300</v>
      </c>
      <c r="AA19" s="123">
        <f t="shared" si="2"/>
        <v>0</v>
      </c>
    </row>
    <row r="20" spans="1:29" ht="45.65" hidden="1" customHeight="1" x14ac:dyDescent="0.55000000000000004">
      <c r="A20" s="105">
        <f t="shared" si="5"/>
        <v>15</v>
      </c>
      <c r="B20" s="106" t="s">
        <v>224</v>
      </c>
      <c r="C20" s="120" t="s">
        <v>204</v>
      </c>
      <c r="D20" s="121" t="s">
        <v>181</v>
      </c>
      <c r="E20" s="121" t="s">
        <v>185</v>
      </c>
      <c r="F20" s="120"/>
      <c r="G20" s="106">
        <v>250</v>
      </c>
      <c r="H20" s="110">
        <v>26</v>
      </c>
      <c r="I20" s="110">
        <v>0</v>
      </c>
      <c r="J20" s="111">
        <f t="shared" si="0"/>
        <v>250</v>
      </c>
      <c r="K20" s="111">
        <v>0</v>
      </c>
      <c r="L20" s="111">
        <v>0</v>
      </c>
      <c r="M20" s="111">
        <v>0</v>
      </c>
      <c r="N20" s="111">
        <v>0</v>
      </c>
      <c r="O20" s="111">
        <f t="shared" si="1"/>
        <v>250</v>
      </c>
      <c r="P20" s="111">
        <v>0</v>
      </c>
      <c r="Q20" s="111">
        <v>0</v>
      </c>
      <c r="R20" s="111"/>
      <c r="S20" s="111">
        <v>0</v>
      </c>
      <c r="T20" s="112">
        <f t="shared" si="4"/>
        <v>250</v>
      </c>
      <c r="U20" s="51">
        <f>VLOOKUP(B20:B77,[1]Sheet1!$E:$J,6,0)</f>
        <v>250</v>
      </c>
      <c r="V20" t="s">
        <v>197</v>
      </c>
      <c r="W20" s="119"/>
      <c r="X20" s="118"/>
      <c r="Y20" t="s">
        <v>256</v>
      </c>
      <c r="Z20" s="168">
        <v>250</v>
      </c>
      <c r="AA20" s="123">
        <f t="shared" si="2"/>
        <v>0</v>
      </c>
    </row>
    <row r="21" spans="1:29" ht="45.65" hidden="1" customHeight="1" x14ac:dyDescent="0.55000000000000004">
      <c r="A21" s="105">
        <f t="shared" si="5"/>
        <v>16</v>
      </c>
      <c r="B21" s="106" t="s">
        <v>268</v>
      </c>
      <c r="C21" s="120" t="s">
        <v>111</v>
      </c>
      <c r="D21" s="121" t="s">
        <v>182</v>
      </c>
      <c r="E21" s="121" t="s">
        <v>185</v>
      </c>
      <c r="F21" s="120"/>
      <c r="G21" s="106">
        <v>100</v>
      </c>
      <c r="H21" s="110">
        <v>26</v>
      </c>
      <c r="I21" s="110">
        <v>0</v>
      </c>
      <c r="J21" s="111">
        <f t="shared" si="0"/>
        <v>100</v>
      </c>
      <c r="K21" s="111">
        <v>0</v>
      </c>
      <c r="L21" s="111">
        <v>0</v>
      </c>
      <c r="M21" s="111">
        <v>0</v>
      </c>
      <c r="N21" s="111">
        <v>0</v>
      </c>
      <c r="O21" s="111">
        <f t="shared" si="1"/>
        <v>100</v>
      </c>
      <c r="P21" s="111">
        <v>0</v>
      </c>
      <c r="Q21" s="111">
        <v>0</v>
      </c>
      <c r="R21" s="111">
        <v>0</v>
      </c>
      <c r="S21" s="111">
        <v>0</v>
      </c>
      <c r="T21" s="112">
        <f t="shared" si="4"/>
        <v>100</v>
      </c>
      <c r="U21" s="51">
        <f>VLOOKUP(B21:B78,[1]Sheet1!$E:$J,6,0)</f>
        <v>100</v>
      </c>
      <c r="V21" t="s">
        <v>241</v>
      </c>
      <c r="W21" s="53"/>
      <c r="X21" s="53"/>
      <c r="Z21" s="168">
        <v>100</v>
      </c>
      <c r="AA21" s="123">
        <f t="shared" si="2"/>
        <v>0</v>
      </c>
    </row>
    <row r="22" spans="1:29" ht="45.65" customHeight="1" x14ac:dyDescent="0.55000000000000004">
      <c r="A22" s="105">
        <f t="shared" si="5"/>
        <v>17</v>
      </c>
      <c r="B22" s="106" t="s">
        <v>269</v>
      </c>
      <c r="C22" s="120" t="s">
        <v>112</v>
      </c>
      <c r="D22" s="121" t="s">
        <v>177</v>
      </c>
      <c r="E22" s="121" t="s">
        <v>189</v>
      </c>
      <c r="F22" s="120" t="s">
        <v>155</v>
      </c>
      <c r="G22" s="106">
        <v>450</v>
      </c>
      <c r="H22" s="110">
        <v>26</v>
      </c>
      <c r="I22" s="110">
        <v>0</v>
      </c>
      <c r="J22" s="111">
        <f t="shared" si="0"/>
        <v>450</v>
      </c>
      <c r="K22" s="111">
        <v>0</v>
      </c>
      <c r="L22" s="111">
        <v>0</v>
      </c>
      <c r="M22" s="111">
        <v>0</v>
      </c>
      <c r="N22" s="111">
        <v>0</v>
      </c>
      <c r="O22" s="111">
        <f t="shared" si="1"/>
        <v>450</v>
      </c>
      <c r="P22" s="111">
        <v>0</v>
      </c>
      <c r="Q22" s="111">
        <v>4.95</v>
      </c>
      <c r="R22" s="111">
        <v>50</v>
      </c>
      <c r="S22" s="111">
        <v>0</v>
      </c>
      <c r="T22" s="112">
        <f t="shared" si="4"/>
        <v>395.05</v>
      </c>
      <c r="U22" s="51">
        <f>VLOOKUP(B22:B79,[1]Sheet1!$E:$J,6,0)</f>
        <v>395.05</v>
      </c>
      <c r="V22" t="s">
        <v>241</v>
      </c>
      <c r="W22" s="53"/>
      <c r="X22" s="53"/>
      <c r="Z22" s="168">
        <v>400</v>
      </c>
      <c r="AA22" s="123">
        <f t="shared" si="2"/>
        <v>-4.9499999999999886</v>
      </c>
    </row>
    <row r="23" spans="1:29" ht="45.65" hidden="1" customHeight="1" x14ac:dyDescent="0.55000000000000004">
      <c r="A23" s="105">
        <f t="shared" si="5"/>
        <v>18</v>
      </c>
      <c r="B23" s="106" t="s">
        <v>225</v>
      </c>
      <c r="C23" s="120" t="s">
        <v>205</v>
      </c>
      <c r="D23" s="121" t="s">
        <v>177</v>
      </c>
      <c r="E23" s="121" t="s">
        <v>185</v>
      </c>
      <c r="F23" s="120" t="s">
        <v>156</v>
      </c>
      <c r="G23" s="106">
        <v>300</v>
      </c>
      <c r="H23" s="110">
        <v>26</v>
      </c>
      <c r="I23" s="110">
        <v>0</v>
      </c>
      <c r="J23" s="111">
        <f t="shared" si="0"/>
        <v>300</v>
      </c>
      <c r="K23" s="111">
        <v>0</v>
      </c>
      <c r="L23" s="111">
        <v>0</v>
      </c>
      <c r="M23" s="111">
        <v>0</v>
      </c>
      <c r="N23" s="111">
        <v>0</v>
      </c>
      <c r="O23" s="111">
        <f t="shared" si="1"/>
        <v>300</v>
      </c>
      <c r="P23" s="111">
        <v>0</v>
      </c>
      <c r="Q23" s="111">
        <v>0</v>
      </c>
      <c r="R23" s="111">
        <v>0</v>
      </c>
      <c r="S23" s="111">
        <v>0</v>
      </c>
      <c r="T23" s="112">
        <f t="shared" si="4"/>
        <v>300</v>
      </c>
      <c r="U23" s="51">
        <f>VLOOKUP(B23:B80,[1]Sheet1!$E:$J,6,0)</f>
        <v>300</v>
      </c>
      <c r="V23" t="s">
        <v>197</v>
      </c>
      <c r="W23" s="53"/>
      <c r="X23" s="53"/>
      <c r="Y23" t="s">
        <v>256</v>
      </c>
      <c r="Z23" s="168">
        <v>300</v>
      </c>
      <c r="AA23" s="123">
        <f t="shared" si="2"/>
        <v>0</v>
      </c>
    </row>
    <row r="24" spans="1:29" s="175" customFormat="1" ht="45.65" hidden="1" customHeight="1" x14ac:dyDescent="0.55000000000000004">
      <c r="A24" s="169">
        <v>19</v>
      </c>
      <c r="B24" s="170" t="s">
        <v>270</v>
      </c>
      <c r="C24" s="154" t="s">
        <v>114</v>
      </c>
      <c r="D24" s="171" t="s">
        <v>180</v>
      </c>
      <c r="E24" s="171" t="s">
        <v>185</v>
      </c>
      <c r="F24" s="154" t="s">
        <v>157</v>
      </c>
      <c r="G24" s="170">
        <v>50</v>
      </c>
      <c r="H24" s="172">
        <v>0</v>
      </c>
      <c r="I24" s="172">
        <v>0</v>
      </c>
      <c r="J24" s="151">
        <f t="shared" si="0"/>
        <v>0</v>
      </c>
      <c r="K24" s="151">
        <v>0</v>
      </c>
      <c r="L24" s="151">
        <v>0</v>
      </c>
      <c r="M24" s="151">
        <v>0</v>
      </c>
      <c r="N24" s="151">
        <v>0</v>
      </c>
      <c r="O24" s="151">
        <f t="shared" si="1"/>
        <v>0</v>
      </c>
      <c r="P24" s="151">
        <v>0</v>
      </c>
      <c r="Q24" s="151">
        <v>0</v>
      </c>
      <c r="R24" s="151">
        <v>0</v>
      </c>
      <c r="S24" s="151">
        <v>0</v>
      </c>
      <c r="T24" s="173">
        <f t="shared" si="4"/>
        <v>0</v>
      </c>
      <c r="U24" s="174"/>
      <c r="V24" s="175" t="s">
        <v>241</v>
      </c>
      <c r="W24" s="174"/>
      <c r="X24" s="174"/>
      <c r="Z24" s="176">
        <v>50</v>
      </c>
      <c r="AA24" s="177">
        <f t="shared" si="2"/>
        <v>-50</v>
      </c>
    </row>
    <row r="25" spans="1:29" s="175" customFormat="1" ht="45.65" hidden="1" customHeight="1" x14ac:dyDescent="0.55000000000000004">
      <c r="A25" s="105">
        <f t="shared" ref="A25:A34" si="6">A24+1</f>
        <v>20</v>
      </c>
      <c r="B25" s="106" t="s">
        <v>271</v>
      </c>
      <c r="C25" s="120" t="s">
        <v>258</v>
      </c>
      <c r="D25" s="121" t="s">
        <v>180</v>
      </c>
      <c r="E25" s="121" t="s">
        <v>185</v>
      </c>
      <c r="F25" s="120"/>
      <c r="G25" s="106">
        <v>50</v>
      </c>
      <c r="H25" s="184">
        <v>26</v>
      </c>
      <c r="I25" s="184">
        <v>0</v>
      </c>
      <c r="J25" s="153">
        <f t="shared" si="0"/>
        <v>50</v>
      </c>
      <c r="K25" s="153">
        <v>0</v>
      </c>
      <c r="L25" s="153">
        <v>0</v>
      </c>
      <c r="M25" s="153">
        <v>0</v>
      </c>
      <c r="N25" s="153">
        <v>0</v>
      </c>
      <c r="O25" s="153">
        <f t="shared" si="1"/>
        <v>50</v>
      </c>
      <c r="P25" s="153">
        <v>0</v>
      </c>
      <c r="Q25" s="153">
        <v>0</v>
      </c>
      <c r="R25" s="153">
        <v>0</v>
      </c>
      <c r="S25" s="153">
        <v>0</v>
      </c>
      <c r="T25" s="185">
        <f t="shared" si="4"/>
        <v>50</v>
      </c>
      <c r="U25" s="51">
        <f>VLOOKUP(B25:B82,[1]Sheet1!$E:$J,6,0)</f>
        <v>50</v>
      </c>
      <c r="W25" s="174"/>
      <c r="X25" s="174"/>
      <c r="Z25" s="176"/>
      <c r="AA25" s="177"/>
    </row>
    <row r="26" spans="1:29" ht="45.65" hidden="1" customHeight="1" x14ac:dyDescent="0.55000000000000004">
      <c r="A26" s="105">
        <f t="shared" si="6"/>
        <v>21</v>
      </c>
      <c r="B26" s="106" t="s">
        <v>272</v>
      </c>
      <c r="C26" s="120" t="s">
        <v>115</v>
      </c>
      <c r="D26" s="121" t="s">
        <v>180</v>
      </c>
      <c r="E26" s="121" t="s">
        <v>185</v>
      </c>
      <c r="F26" s="120" t="s">
        <v>158</v>
      </c>
      <c r="G26" s="106">
        <v>150</v>
      </c>
      <c r="H26" s="110">
        <v>26</v>
      </c>
      <c r="I26" s="110">
        <v>0</v>
      </c>
      <c r="J26" s="111">
        <f t="shared" si="0"/>
        <v>150</v>
      </c>
      <c r="K26" s="111">
        <v>0</v>
      </c>
      <c r="L26" s="111">
        <v>0</v>
      </c>
      <c r="M26" s="111">
        <v>0</v>
      </c>
      <c r="N26" s="111">
        <v>0</v>
      </c>
      <c r="O26" s="111">
        <f t="shared" si="1"/>
        <v>150</v>
      </c>
      <c r="P26" s="111">
        <v>0</v>
      </c>
      <c r="Q26" s="111">
        <v>0</v>
      </c>
      <c r="R26" s="111">
        <v>0</v>
      </c>
      <c r="S26" s="111">
        <v>0</v>
      </c>
      <c r="T26" s="112">
        <f t="shared" si="4"/>
        <v>150</v>
      </c>
      <c r="U26" s="51">
        <f>VLOOKUP(B26:B83,[1]Sheet1!$E:$J,6,0)</f>
        <v>150</v>
      </c>
      <c r="V26" t="s">
        <v>241</v>
      </c>
      <c r="W26" s="53"/>
      <c r="X26" s="53"/>
      <c r="Z26" s="168">
        <v>147.12</v>
      </c>
      <c r="AA26" s="123">
        <f t="shared" si="2"/>
        <v>2.8799999999999955</v>
      </c>
      <c r="AC26">
        <f>150-147.116</f>
        <v>2.8839999999999861</v>
      </c>
    </row>
    <row r="27" spans="1:29" ht="45.65" hidden="1" customHeight="1" x14ac:dyDescent="0.55000000000000004">
      <c r="A27" s="105">
        <f t="shared" si="6"/>
        <v>22</v>
      </c>
      <c r="B27" s="106" t="s">
        <v>226</v>
      </c>
      <c r="C27" s="120" t="s">
        <v>206</v>
      </c>
      <c r="D27" s="121" t="s">
        <v>183</v>
      </c>
      <c r="E27" s="121" t="s">
        <v>185</v>
      </c>
      <c r="F27" s="120"/>
      <c r="G27" s="106">
        <v>150</v>
      </c>
      <c r="H27" s="110">
        <v>26</v>
      </c>
      <c r="I27" s="110">
        <v>0</v>
      </c>
      <c r="J27" s="111">
        <f t="shared" si="0"/>
        <v>150</v>
      </c>
      <c r="K27" s="111">
        <v>0</v>
      </c>
      <c r="L27" s="111">
        <v>0</v>
      </c>
      <c r="M27" s="111">
        <v>0</v>
      </c>
      <c r="N27" s="111">
        <v>0</v>
      </c>
      <c r="O27" s="111">
        <f t="shared" si="1"/>
        <v>150</v>
      </c>
      <c r="P27" s="111">
        <v>0</v>
      </c>
      <c r="Q27" s="111">
        <v>0</v>
      </c>
      <c r="R27" s="111">
        <v>0</v>
      </c>
      <c r="S27" s="111">
        <v>0</v>
      </c>
      <c r="T27" s="112">
        <f t="shared" si="4"/>
        <v>150</v>
      </c>
      <c r="U27" s="51">
        <f>VLOOKUP(B27:B84,[1]Sheet1!$E:$J,6,0)</f>
        <v>150</v>
      </c>
      <c r="V27" t="s">
        <v>197</v>
      </c>
      <c r="W27" s="53"/>
      <c r="X27" s="53"/>
      <c r="Y27" t="s">
        <v>256</v>
      </c>
      <c r="Z27" s="168">
        <v>150</v>
      </c>
      <c r="AA27" s="123">
        <f t="shared" si="2"/>
        <v>0</v>
      </c>
    </row>
    <row r="28" spans="1:29" ht="45.65" hidden="1" customHeight="1" x14ac:dyDescent="0.55000000000000004">
      <c r="A28" s="105">
        <f t="shared" si="6"/>
        <v>23</v>
      </c>
      <c r="B28" s="106" t="s">
        <v>227</v>
      </c>
      <c r="C28" s="120" t="s">
        <v>207</v>
      </c>
      <c r="D28" s="121" t="s">
        <v>183</v>
      </c>
      <c r="E28" s="121" t="s">
        <v>185</v>
      </c>
      <c r="F28" s="120"/>
      <c r="G28" s="106">
        <v>150</v>
      </c>
      <c r="H28" s="110">
        <v>26</v>
      </c>
      <c r="I28" s="110">
        <v>0</v>
      </c>
      <c r="J28" s="111">
        <f t="shared" si="0"/>
        <v>150</v>
      </c>
      <c r="K28" s="111">
        <v>0</v>
      </c>
      <c r="L28" s="111">
        <v>0</v>
      </c>
      <c r="M28" s="111">
        <v>0</v>
      </c>
      <c r="N28" s="111">
        <v>0</v>
      </c>
      <c r="O28" s="111">
        <f t="shared" si="1"/>
        <v>150</v>
      </c>
      <c r="P28" s="111">
        <v>0</v>
      </c>
      <c r="Q28" s="111">
        <v>0</v>
      </c>
      <c r="R28" s="111">
        <v>0</v>
      </c>
      <c r="S28" s="111">
        <v>0</v>
      </c>
      <c r="T28" s="112">
        <f t="shared" si="4"/>
        <v>150</v>
      </c>
      <c r="U28" s="51">
        <f>VLOOKUP(B28:B85,[1]Sheet1!$E:$J,6,0)</f>
        <v>150</v>
      </c>
      <c r="V28" t="s">
        <v>197</v>
      </c>
      <c r="W28" s="53"/>
      <c r="X28" s="53"/>
      <c r="Y28" t="s">
        <v>256</v>
      </c>
      <c r="Z28" s="168">
        <v>150</v>
      </c>
      <c r="AA28" s="123">
        <f t="shared" si="2"/>
        <v>0</v>
      </c>
    </row>
    <row r="29" spans="1:29" ht="45.65" hidden="1" customHeight="1" x14ac:dyDescent="0.55000000000000004">
      <c r="A29" s="105">
        <f t="shared" si="6"/>
        <v>24</v>
      </c>
      <c r="B29" s="106" t="s">
        <v>273</v>
      </c>
      <c r="C29" s="120" t="s">
        <v>118</v>
      </c>
      <c r="D29" s="121" t="s">
        <v>181</v>
      </c>
      <c r="E29" s="121" t="s">
        <v>185</v>
      </c>
      <c r="F29" s="120"/>
      <c r="G29" s="106">
        <v>100</v>
      </c>
      <c r="H29" s="110">
        <v>26</v>
      </c>
      <c r="I29" s="110">
        <v>0</v>
      </c>
      <c r="J29" s="111">
        <f t="shared" si="0"/>
        <v>100</v>
      </c>
      <c r="K29" s="111">
        <v>0</v>
      </c>
      <c r="L29" s="111">
        <v>0</v>
      </c>
      <c r="M29" s="111">
        <v>0</v>
      </c>
      <c r="N29" s="111">
        <v>0</v>
      </c>
      <c r="O29" s="111">
        <f t="shared" si="1"/>
        <v>100</v>
      </c>
      <c r="P29" s="111">
        <v>0</v>
      </c>
      <c r="Q29" s="111">
        <v>0</v>
      </c>
      <c r="R29" s="111">
        <v>0</v>
      </c>
      <c r="S29" s="111">
        <v>0</v>
      </c>
      <c r="T29" s="112">
        <f t="shared" si="4"/>
        <v>100</v>
      </c>
      <c r="U29" s="51">
        <f>VLOOKUP(B29:B86,[1]Sheet1!$E:$J,6,0)</f>
        <v>100</v>
      </c>
      <c r="V29" t="s">
        <v>241</v>
      </c>
      <c r="W29" s="53"/>
      <c r="X29" s="53"/>
      <c r="Z29" s="168">
        <v>100</v>
      </c>
      <c r="AA29" s="123">
        <f t="shared" si="2"/>
        <v>0</v>
      </c>
    </row>
    <row r="30" spans="1:29" ht="45.65" hidden="1" customHeight="1" x14ac:dyDescent="0.55000000000000004">
      <c r="A30" s="105">
        <f t="shared" si="6"/>
        <v>25</v>
      </c>
      <c r="B30" s="106" t="s">
        <v>274</v>
      </c>
      <c r="C30" s="120" t="s">
        <v>119</v>
      </c>
      <c r="D30" s="121" t="s">
        <v>183</v>
      </c>
      <c r="E30" s="121" t="s">
        <v>185</v>
      </c>
      <c r="F30" s="120" t="s">
        <v>93</v>
      </c>
      <c r="G30" s="106">
        <v>80</v>
      </c>
      <c r="H30" s="110">
        <v>26</v>
      </c>
      <c r="I30" s="110">
        <v>0</v>
      </c>
      <c r="J30" s="111">
        <f t="shared" si="0"/>
        <v>80</v>
      </c>
      <c r="K30" s="111">
        <v>0</v>
      </c>
      <c r="L30" s="111">
        <v>0</v>
      </c>
      <c r="M30" s="111">
        <v>0</v>
      </c>
      <c r="N30" s="111">
        <v>0</v>
      </c>
      <c r="O30" s="111">
        <f t="shared" si="1"/>
        <v>80</v>
      </c>
      <c r="P30" s="111">
        <v>0</v>
      </c>
      <c r="Q30" s="111">
        <v>0</v>
      </c>
      <c r="R30" s="111">
        <v>0</v>
      </c>
      <c r="S30" s="111">
        <v>0</v>
      </c>
      <c r="T30" s="112">
        <f t="shared" si="4"/>
        <v>80</v>
      </c>
      <c r="U30" s="51">
        <f>VLOOKUP(B30:B87,[1]Sheet1!$E:$J,6,0)</f>
        <v>80</v>
      </c>
      <c r="V30" t="s">
        <v>241</v>
      </c>
      <c r="W30" s="53"/>
      <c r="X30" s="53"/>
      <c r="Z30" s="168">
        <v>80</v>
      </c>
      <c r="AA30" s="123">
        <f t="shared" si="2"/>
        <v>0</v>
      </c>
    </row>
    <row r="31" spans="1:29" ht="45.65" hidden="1" customHeight="1" x14ac:dyDescent="0.55000000000000004">
      <c r="A31" s="105">
        <f t="shared" si="6"/>
        <v>26</v>
      </c>
      <c r="B31" s="106" t="s">
        <v>275</v>
      </c>
      <c r="C31" s="120" t="s">
        <v>120</v>
      </c>
      <c r="D31" s="121" t="s">
        <v>177</v>
      </c>
      <c r="E31" s="121" t="s">
        <v>190</v>
      </c>
      <c r="F31" s="120"/>
      <c r="G31" s="106">
        <v>150</v>
      </c>
      <c r="H31" s="110">
        <v>26</v>
      </c>
      <c r="I31" s="110">
        <v>0</v>
      </c>
      <c r="J31" s="111">
        <f t="shared" si="0"/>
        <v>150</v>
      </c>
      <c r="K31" s="111">
        <v>0</v>
      </c>
      <c r="L31" s="111">
        <v>0</v>
      </c>
      <c r="M31" s="111">
        <v>0</v>
      </c>
      <c r="N31" s="111">
        <v>0</v>
      </c>
      <c r="O31" s="111">
        <f t="shared" si="1"/>
        <v>150</v>
      </c>
      <c r="P31" s="111">
        <v>0</v>
      </c>
      <c r="Q31" s="111">
        <v>0</v>
      </c>
      <c r="R31" s="111">
        <v>0</v>
      </c>
      <c r="S31" s="111">
        <v>0</v>
      </c>
      <c r="T31" s="112">
        <f t="shared" si="4"/>
        <v>150</v>
      </c>
      <c r="U31" s="51">
        <f>VLOOKUP(B31:B88,[1]Sheet1!$E:$J,6,0)</f>
        <v>150</v>
      </c>
      <c r="V31" t="s">
        <v>241</v>
      </c>
      <c r="W31" s="53"/>
      <c r="X31" s="53"/>
      <c r="Z31" s="168">
        <v>150</v>
      </c>
      <c r="AA31" s="123">
        <f t="shared" si="2"/>
        <v>0</v>
      </c>
    </row>
    <row r="32" spans="1:29" ht="45.65" hidden="1" customHeight="1" x14ac:dyDescent="0.55000000000000004">
      <c r="A32" s="105">
        <f t="shared" si="6"/>
        <v>27</v>
      </c>
      <c r="B32" s="106" t="s">
        <v>228</v>
      </c>
      <c r="C32" s="120" t="s">
        <v>208</v>
      </c>
      <c r="D32" s="121" t="s">
        <v>183</v>
      </c>
      <c r="E32" s="121" t="s">
        <v>189</v>
      </c>
      <c r="F32" s="120"/>
      <c r="G32" s="106">
        <v>150</v>
      </c>
      <c r="H32" s="110">
        <v>26</v>
      </c>
      <c r="I32" s="110">
        <v>0</v>
      </c>
      <c r="J32" s="111">
        <f t="shared" si="0"/>
        <v>150</v>
      </c>
      <c r="K32" s="111">
        <v>0</v>
      </c>
      <c r="L32" s="111">
        <v>0</v>
      </c>
      <c r="M32" s="111">
        <v>0</v>
      </c>
      <c r="N32" s="111">
        <v>0</v>
      </c>
      <c r="O32" s="111">
        <f t="shared" si="1"/>
        <v>150</v>
      </c>
      <c r="P32" s="111">
        <v>0</v>
      </c>
      <c r="Q32" s="111">
        <v>0</v>
      </c>
      <c r="R32" s="111">
        <v>0</v>
      </c>
      <c r="S32" s="111">
        <v>0</v>
      </c>
      <c r="T32" s="112">
        <f t="shared" si="4"/>
        <v>150</v>
      </c>
      <c r="U32" s="51">
        <f>VLOOKUP(B32:B89,[1]Sheet1!$E:$J,6,0)</f>
        <v>150</v>
      </c>
      <c r="V32" t="s">
        <v>197</v>
      </c>
      <c r="W32" s="53"/>
      <c r="X32" s="53"/>
      <c r="Y32" t="s">
        <v>256</v>
      </c>
      <c r="Z32" s="168">
        <v>150</v>
      </c>
      <c r="AA32" s="123">
        <f t="shared" si="2"/>
        <v>0</v>
      </c>
    </row>
    <row r="33" spans="1:27" ht="45.65" hidden="1" customHeight="1" x14ac:dyDescent="0.55000000000000004">
      <c r="A33" s="105">
        <f t="shared" si="6"/>
        <v>28</v>
      </c>
      <c r="B33" s="106" t="s">
        <v>276</v>
      </c>
      <c r="C33" s="120" t="s">
        <v>122</v>
      </c>
      <c r="D33" s="121" t="s">
        <v>181</v>
      </c>
      <c r="E33" s="121" t="s">
        <v>189</v>
      </c>
      <c r="F33" s="120"/>
      <c r="G33" s="106">
        <v>200</v>
      </c>
      <c r="H33" s="110">
        <v>26</v>
      </c>
      <c r="I33" s="110">
        <v>0</v>
      </c>
      <c r="J33" s="111">
        <f t="shared" si="0"/>
        <v>200</v>
      </c>
      <c r="K33" s="111">
        <v>0</v>
      </c>
      <c r="L33" s="111">
        <v>0</v>
      </c>
      <c r="M33" s="111">
        <v>0</v>
      </c>
      <c r="N33" s="111">
        <v>0</v>
      </c>
      <c r="O33" s="111">
        <f t="shared" si="1"/>
        <v>200</v>
      </c>
      <c r="P33" s="111">
        <v>0</v>
      </c>
      <c r="Q33" s="111">
        <v>0</v>
      </c>
      <c r="R33" s="111">
        <v>0</v>
      </c>
      <c r="S33" s="111">
        <v>0</v>
      </c>
      <c r="T33" s="112">
        <f t="shared" si="4"/>
        <v>200</v>
      </c>
      <c r="U33" s="51">
        <f>VLOOKUP(B33:B90,[1]Sheet1!$E:$J,6,0)</f>
        <v>200</v>
      </c>
      <c r="V33" t="s">
        <v>241</v>
      </c>
      <c r="W33" s="53"/>
      <c r="X33" s="53"/>
      <c r="Z33" s="168">
        <v>200</v>
      </c>
      <c r="AA33" s="123">
        <f t="shared" si="2"/>
        <v>0</v>
      </c>
    </row>
    <row r="34" spans="1:27" ht="45.65" hidden="1" customHeight="1" x14ac:dyDescent="0.55000000000000004">
      <c r="A34" s="105">
        <f t="shared" si="6"/>
        <v>29</v>
      </c>
      <c r="B34" s="106" t="s">
        <v>277</v>
      </c>
      <c r="C34" s="120" t="s">
        <v>123</v>
      </c>
      <c r="D34" s="121" t="s">
        <v>181</v>
      </c>
      <c r="E34" s="121" t="s">
        <v>185</v>
      </c>
      <c r="F34" s="120"/>
      <c r="G34" s="106">
        <v>250</v>
      </c>
      <c r="H34" s="110">
        <v>26</v>
      </c>
      <c r="I34" s="110">
        <v>0</v>
      </c>
      <c r="J34" s="111">
        <f t="shared" si="0"/>
        <v>250</v>
      </c>
      <c r="K34" s="111">
        <v>0</v>
      </c>
      <c r="L34" s="111">
        <v>0</v>
      </c>
      <c r="M34" s="111">
        <v>0</v>
      </c>
      <c r="N34" s="111">
        <v>0</v>
      </c>
      <c r="O34" s="111">
        <f t="shared" si="1"/>
        <v>250</v>
      </c>
      <c r="P34" s="111">
        <v>0</v>
      </c>
      <c r="Q34" s="111">
        <v>0</v>
      </c>
      <c r="R34" s="111">
        <v>0</v>
      </c>
      <c r="S34" s="111">
        <v>0</v>
      </c>
      <c r="T34" s="112">
        <f t="shared" si="4"/>
        <v>250</v>
      </c>
      <c r="U34" s="51">
        <f>VLOOKUP(B34:B91,[1]Sheet1!$E:$J,6,0)</f>
        <v>250</v>
      </c>
      <c r="V34" t="s">
        <v>241</v>
      </c>
      <c r="W34" s="53"/>
      <c r="X34" s="118"/>
      <c r="Z34" s="168">
        <v>250</v>
      </c>
      <c r="AA34" s="123">
        <f t="shared" si="2"/>
        <v>0</v>
      </c>
    </row>
    <row r="35" spans="1:27" ht="45.65" hidden="1" customHeight="1" x14ac:dyDescent="0.55000000000000004">
      <c r="A35" s="105">
        <v>29</v>
      </c>
      <c r="B35" s="163" t="s">
        <v>229</v>
      </c>
      <c r="C35" s="161" t="s">
        <v>209</v>
      </c>
      <c r="D35" s="162" t="s">
        <v>177</v>
      </c>
      <c r="E35" s="162" t="s">
        <v>185</v>
      </c>
      <c r="F35" s="161" t="s">
        <v>159</v>
      </c>
      <c r="G35" s="163">
        <v>384.23</v>
      </c>
      <c r="H35" s="164">
        <v>0</v>
      </c>
      <c r="I35" s="164">
        <v>0</v>
      </c>
      <c r="J35" s="126">
        <f t="shared" si="0"/>
        <v>0</v>
      </c>
      <c r="K35" s="126">
        <v>0</v>
      </c>
      <c r="L35" s="126">
        <v>0</v>
      </c>
      <c r="M35" s="126">
        <v>0</v>
      </c>
      <c r="N35" s="126">
        <v>0</v>
      </c>
      <c r="O35" s="126">
        <f t="shared" si="1"/>
        <v>0</v>
      </c>
      <c r="P35" s="126">
        <v>0</v>
      </c>
      <c r="Q35" s="126">
        <v>0</v>
      </c>
      <c r="R35" s="126">
        <v>0</v>
      </c>
      <c r="S35" s="126">
        <v>0</v>
      </c>
      <c r="T35" s="165">
        <f t="shared" si="4"/>
        <v>0</v>
      </c>
      <c r="U35" s="53"/>
      <c r="V35" t="s">
        <v>197</v>
      </c>
      <c r="W35" s="53"/>
      <c r="X35" s="53"/>
      <c r="Y35" t="s">
        <v>256</v>
      </c>
      <c r="Z35" s="168">
        <v>0</v>
      </c>
      <c r="AA35" s="123">
        <f t="shared" si="2"/>
        <v>0</v>
      </c>
    </row>
    <row r="36" spans="1:27" ht="45.65" hidden="1" customHeight="1" x14ac:dyDescent="0.55000000000000004">
      <c r="A36" s="105">
        <f t="shared" ref="A36:A44" si="7">A35+1</f>
        <v>30</v>
      </c>
      <c r="B36" s="106" t="s">
        <v>230</v>
      </c>
      <c r="C36" s="120" t="s">
        <v>125</v>
      </c>
      <c r="D36" s="121" t="s">
        <v>177</v>
      </c>
      <c r="E36" s="121" t="s">
        <v>185</v>
      </c>
      <c r="F36" s="120" t="s">
        <v>160</v>
      </c>
      <c r="G36" s="106">
        <v>270</v>
      </c>
      <c r="H36" s="110">
        <v>26</v>
      </c>
      <c r="I36" s="110">
        <v>0</v>
      </c>
      <c r="J36" s="111">
        <f t="shared" si="0"/>
        <v>270</v>
      </c>
      <c r="K36" s="111">
        <v>0</v>
      </c>
      <c r="L36" s="111">
        <v>0</v>
      </c>
      <c r="M36" s="111">
        <v>0</v>
      </c>
      <c r="N36" s="111">
        <v>0</v>
      </c>
      <c r="O36" s="111">
        <f t="shared" si="1"/>
        <v>270</v>
      </c>
      <c r="P36" s="111">
        <v>0</v>
      </c>
      <c r="Q36" s="111">
        <v>0</v>
      </c>
      <c r="R36" s="111">
        <v>0</v>
      </c>
      <c r="S36" s="111">
        <v>0</v>
      </c>
      <c r="T36" s="112">
        <f t="shared" si="4"/>
        <v>270</v>
      </c>
      <c r="U36" s="51">
        <f>VLOOKUP(B36:B93,[1]Sheet1!$E:$J,6,0)</f>
        <v>270</v>
      </c>
      <c r="V36" t="s">
        <v>197</v>
      </c>
      <c r="W36" s="53"/>
      <c r="X36" s="53"/>
      <c r="Y36" t="s">
        <v>256</v>
      </c>
      <c r="Z36" s="168">
        <v>270</v>
      </c>
      <c r="AA36" s="123">
        <f t="shared" si="2"/>
        <v>0</v>
      </c>
    </row>
    <row r="37" spans="1:27" ht="45.65" hidden="1" customHeight="1" x14ac:dyDescent="0.55000000000000004">
      <c r="A37" s="105">
        <f t="shared" si="7"/>
        <v>31</v>
      </c>
      <c r="B37" s="106" t="s">
        <v>278</v>
      </c>
      <c r="C37" s="120" t="s">
        <v>247</v>
      </c>
      <c r="D37" s="121" t="s">
        <v>178</v>
      </c>
      <c r="E37" s="121" t="s">
        <v>185</v>
      </c>
      <c r="F37" s="120"/>
      <c r="G37" s="106">
        <v>280</v>
      </c>
      <c r="H37" s="110">
        <v>26</v>
      </c>
      <c r="I37" s="110">
        <v>0</v>
      </c>
      <c r="J37" s="111">
        <f t="shared" si="0"/>
        <v>280</v>
      </c>
      <c r="K37" s="111">
        <v>0</v>
      </c>
      <c r="L37" s="111">
        <v>0</v>
      </c>
      <c r="M37" s="111">
        <v>0</v>
      </c>
      <c r="N37" s="111">
        <v>0</v>
      </c>
      <c r="O37" s="111">
        <f t="shared" si="1"/>
        <v>280</v>
      </c>
      <c r="P37" s="111">
        <v>0</v>
      </c>
      <c r="Q37" s="111">
        <v>0</v>
      </c>
      <c r="R37" s="111">
        <v>0</v>
      </c>
      <c r="S37" s="111">
        <v>0</v>
      </c>
      <c r="T37" s="112">
        <f t="shared" si="4"/>
        <v>280</v>
      </c>
      <c r="U37" s="51">
        <f>VLOOKUP(B37:B94,[1]Sheet1!$E:$J,6,0)</f>
        <v>280</v>
      </c>
      <c r="V37" t="s">
        <v>241</v>
      </c>
      <c r="W37" s="53"/>
      <c r="X37" s="53"/>
      <c r="Z37" s="168">
        <v>280</v>
      </c>
      <c r="AA37" s="123">
        <f t="shared" si="2"/>
        <v>0</v>
      </c>
    </row>
    <row r="38" spans="1:27" ht="45.65" hidden="1" customHeight="1" x14ac:dyDescent="0.55000000000000004">
      <c r="A38" s="105">
        <f t="shared" si="7"/>
        <v>32</v>
      </c>
      <c r="B38" s="113" t="s">
        <v>279</v>
      </c>
      <c r="C38" s="122" t="s">
        <v>127</v>
      </c>
      <c r="D38" s="121" t="s">
        <v>177</v>
      </c>
      <c r="E38" s="121" t="s">
        <v>191</v>
      </c>
      <c r="F38" s="122" t="s">
        <v>161</v>
      </c>
      <c r="G38" s="113">
        <v>200</v>
      </c>
      <c r="H38" s="110">
        <v>0</v>
      </c>
      <c r="I38" s="110">
        <v>0</v>
      </c>
      <c r="J38" s="111">
        <f t="shared" si="0"/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f t="shared" si="1"/>
        <v>0</v>
      </c>
      <c r="P38" s="111">
        <v>0</v>
      </c>
      <c r="Q38" s="111">
        <v>0</v>
      </c>
      <c r="R38" s="111">
        <v>0</v>
      </c>
      <c r="S38" s="111">
        <v>0</v>
      </c>
      <c r="T38" s="112">
        <f t="shared" si="4"/>
        <v>0</v>
      </c>
      <c r="U38" s="53"/>
      <c r="V38" t="s">
        <v>241</v>
      </c>
      <c r="W38" s="53"/>
      <c r="X38" s="53"/>
      <c r="Z38" s="168">
        <v>0</v>
      </c>
      <c r="AA38" s="123">
        <f t="shared" si="2"/>
        <v>0</v>
      </c>
    </row>
    <row r="39" spans="1:27" ht="45.65" hidden="1" customHeight="1" x14ac:dyDescent="0.55000000000000004">
      <c r="A39" s="105">
        <f t="shared" si="7"/>
        <v>33</v>
      </c>
      <c r="B39" s="106" t="s">
        <v>231</v>
      </c>
      <c r="C39" s="120" t="s">
        <v>211</v>
      </c>
      <c r="D39" s="121" t="s">
        <v>177</v>
      </c>
      <c r="E39" s="121" t="s">
        <v>185</v>
      </c>
      <c r="F39" s="120"/>
      <c r="G39" s="106">
        <v>600</v>
      </c>
      <c r="H39" s="110">
        <v>26</v>
      </c>
      <c r="I39" s="110">
        <v>0</v>
      </c>
      <c r="J39" s="111">
        <f t="shared" si="0"/>
        <v>600</v>
      </c>
      <c r="K39" s="111">
        <v>0</v>
      </c>
      <c r="L39" s="111">
        <v>0</v>
      </c>
      <c r="M39" s="111">
        <v>0</v>
      </c>
      <c r="N39" s="111">
        <v>0</v>
      </c>
      <c r="O39" s="111">
        <f t="shared" si="1"/>
        <v>600</v>
      </c>
      <c r="P39" s="111">
        <v>0</v>
      </c>
      <c r="Q39" s="153">
        <v>0</v>
      </c>
      <c r="R39" s="111">
        <v>0</v>
      </c>
      <c r="S39" s="151">
        <v>200</v>
      </c>
      <c r="T39" s="112">
        <f t="shared" si="4"/>
        <v>400</v>
      </c>
      <c r="U39" s="51" t="str">
        <f>VLOOKUP(B39:B96,[1]Sheet1!$E:$J,6,0)</f>
        <v>bec</v>
      </c>
      <c r="V39" t="s">
        <v>197</v>
      </c>
      <c r="W39" s="53">
        <v>600</v>
      </c>
      <c r="X39" s="118">
        <v>-200</v>
      </c>
      <c r="Y39" t="s">
        <v>256</v>
      </c>
      <c r="Z39" s="168">
        <v>600</v>
      </c>
      <c r="AA39" s="123">
        <f t="shared" si="2"/>
        <v>-200</v>
      </c>
    </row>
    <row r="40" spans="1:27" ht="45.65" customHeight="1" x14ac:dyDescent="0.55000000000000004">
      <c r="A40" s="105">
        <f t="shared" si="7"/>
        <v>34</v>
      </c>
      <c r="B40" s="106" t="s">
        <v>232</v>
      </c>
      <c r="C40" s="120" t="s">
        <v>248</v>
      </c>
      <c r="D40" s="121" t="s">
        <v>177</v>
      </c>
      <c r="E40" s="121" t="s">
        <v>191</v>
      </c>
      <c r="F40" s="120" t="s">
        <v>162</v>
      </c>
      <c r="G40" s="106">
        <v>450</v>
      </c>
      <c r="H40" s="184">
        <v>26</v>
      </c>
      <c r="I40" s="184">
        <v>0</v>
      </c>
      <c r="J40" s="153">
        <f t="shared" si="0"/>
        <v>450</v>
      </c>
      <c r="K40" s="153">
        <v>0</v>
      </c>
      <c r="L40" s="153">
        <v>0</v>
      </c>
      <c r="M40" s="153">
        <v>0</v>
      </c>
      <c r="N40" s="153">
        <v>0</v>
      </c>
      <c r="O40" s="153">
        <f t="shared" si="1"/>
        <v>450</v>
      </c>
      <c r="P40" s="153">
        <v>0</v>
      </c>
      <c r="Q40" s="153">
        <v>5.77</v>
      </c>
      <c r="R40" s="153">
        <v>0</v>
      </c>
      <c r="S40" s="153">
        <v>0</v>
      </c>
      <c r="T40" s="185">
        <f t="shared" si="4"/>
        <v>444.23</v>
      </c>
      <c r="U40" s="51" t="str">
        <f>VLOOKUP(B40:B97,[1]Sheet1!$E:$J,6,0)</f>
        <v>bec</v>
      </c>
      <c r="V40" t="s">
        <v>197</v>
      </c>
      <c r="W40" s="53"/>
      <c r="X40" s="53"/>
      <c r="Y40" t="s">
        <v>256</v>
      </c>
      <c r="Z40" s="168">
        <v>103.85</v>
      </c>
      <c r="AA40" s="123">
        <f t="shared" si="2"/>
        <v>340.38</v>
      </c>
    </row>
    <row r="41" spans="1:27" ht="45.65" customHeight="1" x14ac:dyDescent="0.55000000000000004">
      <c r="A41" s="105">
        <f t="shared" si="7"/>
        <v>35</v>
      </c>
      <c r="B41" s="106" t="s">
        <v>233</v>
      </c>
      <c r="C41" s="120" t="s">
        <v>130</v>
      </c>
      <c r="D41" s="121" t="s">
        <v>177</v>
      </c>
      <c r="E41" s="121" t="s">
        <v>191</v>
      </c>
      <c r="F41" s="120" t="s">
        <v>172</v>
      </c>
      <c r="G41" s="106">
        <v>550</v>
      </c>
      <c r="H41" s="110">
        <v>26</v>
      </c>
      <c r="I41" s="110">
        <v>0</v>
      </c>
      <c r="J41" s="111">
        <f t="shared" si="0"/>
        <v>550</v>
      </c>
      <c r="K41" s="111">
        <v>0</v>
      </c>
      <c r="L41" s="111">
        <v>0</v>
      </c>
      <c r="M41" s="111">
        <v>0</v>
      </c>
      <c r="N41" s="111">
        <v>0</v>
      </c>
      <c r="O41" s="111">
        <f t="shared" si="1"/>
        <v>550</v>
      </c>
      <c r="P41" s="111">
        <v>0</v>
      </c>
      <c r="Q41" s="111">
        <v>3.53</v>
      </c>
      <c r="R41" s="111">
        <v>0</v>
      </c>
      <c r="S41" s="111">
        <v>0</v>
      </c>
      <c r="T41" s="112">
        <f t="shared" si="4"/>
        <v>546.47</v>
      </c>
      <c r="U41" s="51">
        <f>VLOOKUP(B41:B98,[1]Sheet1!$E:$J,6,0)</f>
        <v>546.47</v>
      </c>
      <c r="V41" t="s">
        <v>197</v>
      </c>
      <c r="W41" s="53"/>
      <c r="X41" s="53"/>
      <c r="Y41" t="s">
        <v>256</v>
      </c>
      <c r="Z41" s="168">
        <v>550</v>
      </c>
      <c r="AA41" s="123">
        <f t="shared" si="2"/>
        <v>-3.5299999999999727</v>
      </c>
    </row>
    <row r="42" spans="1:27" ht="45.65" customHeight="1" x14ac:dyDescent="0.55000000000000004">
      <c r="A42" s="105">
        <f t="shared" si="7"/>
        <v>36</v>
      </c>
      <c r="B42" s="106" t="s">
        <v>234</v>
      </c>
      <c r="C42" s="120" t="s">
        <v>131</v>
      </c>
      <c r="D42" s="121" t="s">
        <v>177</v>
      </c>
      <c r="E42" s="121" t="s">
        <v>191</v>
      </c>
      <c r="F42" s="120" t="s">
        <v>163</v>
      </c>
      <c r="G42" s="106">
        <v>450</v>
      </c>
      <c r="H42" s="110">
        <v>26</v>
      </c>
      <c r="I42" s="110">
        <v>0</v>
      </c>
      <c r="J42" s="111">
        <f t="shared" si="0"/>
        <v>450</v>
      </c>
      <c r="K42" s="111">
        <v>0</v>
      </c>
      <c r="L42" s="111">
        <v>0</v>
      </c>
      <c r="M42" s="111">
        <v>0</v>
      </c>
      <c r="N42" s="111">
        <v>0</v>
      </c>
      <c r="O42" s="111">
        <f t="shared" si="1"/>
        <v>450</v>
      </c>
      <c r="P42" s="111">
        <v>0</v>
      </c>
      <c r="Q42" s="111">
        <v>60.58</v>
      </c>
      <c r="R42" s="111">
        <v>0</v>
      </c>
      <c r="S42" s="111">
        <v>0</v>
      </c>
      <c r="T42" s="112">
        <f t="shared" si="4"/>
        <v>389.42</v>
      </c>
      <c r="U42" s="51">
        <f>VLOOKUP(B42:B99,[1]Sheet1!$E:$J,6,0)</f>
        <v>389.42</v>
      </c>
      <c r="V42" t="s">
        <v>197</v>
      </c>
      <c r="W42" s="53"/>
      <c r="X42" s="53"/>
      <c r="Y42" t="s">
        <v>256</v>
      </c>
      <c r="Z42" s="168">
        <v>448.08</v>
      </c>
      <c r="AA42" s="123">
        <f t="shared" si="2"/>
        <v>-58.659999999999968</v>
      </c>
    </row>
    <row r="43" spans="1:27" ht="45.65" hidden="1" customHeight="1" x14ac:dyDescent="0.55000000000000004">
      <c r="A43" s="105">
        <f t="shared" si="7"/>
        <v>37</v>
      </c>
      <c r="B43" s="106" t="s">
        <v>235</v>
      </c>
      <c r="C43" s="120" t="s">
        <v>132</v>
      </c>
      <c r="D43" s="121" t="s">
        <v>177</v>
      </c>
      <c r="E43" s="121" t="s">
        <v>191</v>
      </c>
      <c r="F43" s="120" t="s">
        <v>163</v>
      </c>
      <c r="G43" s="106">
        <v>450</v>
      </c>
      <c r="H43" s="110">
        <v>26</v>
      </c>
      <c r="I43" s="110">
        <v>0</v>
      </c>
      <c r="J43" s="111">
        <f t="shared" si="0"/>
        <v>450</v>
      </c>
      <c r="K43" s="111">
        <v>0</v>
      </c>
      <c r="L43" s="111">
        <v>0</v>
      </c>
      <c r="M43" s="111">
        <v>0</v>
      </c>
      <c r="N43" s="111">
        <v>0</v>
      </c>
      <c r="O43" s="111">
        <f t="shared" si="1"/>
        <v>450</v>
      </c>
      <c r="P43" s="111">
        <v>0</v>
      </c>
      <c r="Q43" s="111">
        <v>0</v>
      </c>
      <c r="R43" s="111">
        <v>0</v>
      </c>
      <c r="S43" s="111">
        <v>0</v>
      </c>
      <c r="T43" s="112">
        <f t="shared" si="4"/>
        <v>450</v>
      </c>
      <c r="U43" s="51">
        <f>VLOOKUP(B43:B100,[1]Sheet1!$E:$J,6,0)</f>
        <v>450</v>
      </c>
      <c r="V43" t="s">
        <v>197</v>
      </c>
      <c r="W43" s="53"/>
      <c r="X43" s="53"/>
      <c r="Y43" t="s">
        <v>256</v>
      </c>
      <c r="Z43" s="168">
        <v>450</v>
      </c>
      <c r="AA43" s="123">
        <f t="shared" si="2"/>
        <v>0</v>
      </c>
    </row>
    <row r="44" spans="1:27" ht="45.65" hidden="1" customHeight="1" x14ac:dyDescent="0.55000000000000004">
      <c r="A44" s="105">
        <f t="shared" si="7"/>
        <v>38</v>
      </c>
      <c r="B44" s="106" t="s">
        <v>236</v>
      </c>
      <c r="C44" s="120" t="s">
        <v>133</v>
      </c>
      <c r="D44" s="121" t="s">
        <v>178</v>
      </c>
      <c r="E44" s="121" t="s">
        <v>185</v>
      </c>
      <c r="F44" s="120" t="s">
        <v>164</v>
      </c>
      <c r="G44" s="106">
        <v>260</v>
      </c>
      <c r="H44" s="110">
        <v>26</v>
      </c>
      <c r="I44" s="110">
        <v>0</v>
      </c>
      <c r="J44" s="111">
        <f t="shared" si="0"/>
        <v>260</v>
      </c>
      <c r="K44" s="111">
        <v>0</v>
      </c>
      <c r="L44" s="111">
        <v>0</v>
      </c>
      <c r="M44" s="111">
        <v>0</v>
      </c>
      <c r="N44" s="111">
        <v>0</v>
      </c>
      <c r="O44" s="111">
        <f t="shared" si="1"/>
        <v>260</v>
      </c>
      <c r="P44" s="111">
        <v>0</v>
      </c>
      <c r="Q44" s="111">
        <v>0</v>
      </c>
      <c r="R44" s="111">
        <v>0</v>
      </c>
      <c r="S44" s="111">
        <v>0</v>
      </c>
      <c r="T44" s="112">
        <f t="shared" si="4"/>
        <v>260</v>
      </c>
      <c r="U44" s="51">
        <f>VLOOKUP(B44:B101,[1]Sheet1!$E:$J,6,0)</f>
        <v>260</v>
      </c>
      <c r="V44" t="s">
        <v>197</v>
      </c>
      <c r="W44" s="53"/>
      <c r="X44" s="53"/>
      <c r="Y44" t="s">
        <v>256</v>
      </c>
      <c r="Z44" s="168">
        <v>260</v>
      </c>
      <c r="AA44" s="123">
        <f t="shared" si="2"/>
        <v>0</v>
      </c>
    </row>
    <row r="45" spans="1:27" ht="45.65" hidden="1" customHeight="1" x14ac:dyDescent="0.55000000000000004">
      <c r="A45" s="105">
        <v>39</v>
      </c>
      <c r="B45" s="163" t="s">
        <v>280</v>
      </c>
      <c r="C45" s="161" t="s">
        <v>134</v>
      </c>
      <c r="D45" s="162" t="s">
        <v>177</v>
      </c>
      <c r="E45" s="162" t="s">
        <v>185</v>
      </c>
      <c r="F45" s="161" t="s">
        <v>89</v>
      </c>
      <c r="G45" s="163">
        <v>120</v>
      </c>
      <c r="H45" s="164">
        <v>0</v>
      </c>
      <c r="I45" s="164">
        <v>0</v>
      </c>
      <c r="J45" s="126">
        <f t="shared" si="0"/>
        <v>0</v>
      </c>
      <c r="K45" s="126">
        <v>0</v>
      </c>
      <c r="L45" s="126">
        <v>0</v>
      </c>
      <c r="M45" s="126">
        <v>0</v>
      </c>
      <c r="N45" s="126">
        <v>0</v>
      </c>
      <c r="O45" s="126">
        <f t="shared" si="1"/>
        <v>0</v>
      </c>
      <c r="P45" s="126">
        <v>0</v>
      </c>
      <c r="Q45" s="126">
        <v>0</v>
      </c>
      <c r="R45" s="126">
        <v>0</v>
      </c>
      <c r="S45" s="126">
        <v>0</v>
      </c>
      <c r="T45" s="165">
        <f t="shared" si="4"/>
        <v>0</v>
      </c>
      <c r="U45" s="53"/>
      <c r="V45" t="s">
        <v>241</v>
      </c>
      <c r="W45" s="53"/>
      <c r="X45" s="53"/>
      <c r="Z45" s="168">
        <v>76.92</v>
      </c>
      <c r="AA45" s="123">
        <f t="shared" si="2"/>
        <v>-76.92</v>
      </c>
    </row>
    <row r="46" spans="1:27" ht="45.65" hidden="1" customHeight="1" x14ac:dyDescent="0.55000000000000004">
      <c r="A46" s="105">
        <f t="shared" ref="A46:A63" si="8">A45+1</f>
        <v>40</v>
      </c>
      <c r="B46" s="113" t="s">
        <v>299</v>
      </c>
      <c r="C46" s="122" t="s">
        <v>249</v>
      </c>
      <c r="D46" s="121" t="s">
        <v>177</v>
      </c>
      <c r="E46" s="121" t="s">
        <v>185</v>
      </c>
      <c r="F46" s="122"/>
      <c r="G46" s="106">
        <v>80</v>
      </c>
      <c r="H46" s="110">
        <v>26</v>
      </c>
      <c r="I46" s="110">
        <v>0</v>
      </c>
      <c r="J46" s="111">
        <f t="shared" si="0"/>
        <v>80</v>
      </c>
      <c r="K46" s="111">
        <v>0</v>
      </c>
      <c r="L46" s="111">
        <v>0</v>
      </c>
      <c r="M46" s="111">
        <v>0</v>
      </c>
      <c r="N46" s="111">
        <v>0</v>
      </c>
      <c r="O46" s="111">
        <f t="shared" si="1"/>
        <v>80</v>
      </c>
      <c r="P46" s="111">
        <v>0</v>
      </c>
      <c r="Q46" s="111">
        <v>0</v>
      </c>
      <c r="R46" s="111">
        <v>0</v>
      </c>
      <c r="S46" s="111">
        <v>0</v>
      </c>
      <c r="T46" s="112">
        <f t="shared" si="4"/>
        <v>80</v>
      </c>
      <c r="U46" s="51" t="str">
        <f>VLOOKUP(B46:B103,[1]Sheet1!$E:$J,6,0)</f>
        <v>bec</v>
      </c>
      <c r="W46" s="53"/>
      <c r="X46" s="53"/>
      <c r="Z46" s="168">
        <v>120</v>
      </c>
      <c r="AA46" s="123">
        <f t="shared" si="2"/>
        <v>-40</v>
      </c>
    </row>
    <row r="47" spans="1:27" ht="45.65" hidden="1" customHeight="1" x14ac:dyDescent="0.55000000000000004">
      <c r="A47" s="105">
        <f t="shared" si="8"/>
        <v>41</v>
      </c>
      <c r="B47" s="106" t="s">
        <v>282</v>
      </c>
      <c r="C47" s="161" t="s">
        <v>135</v>
      </c>
      <c r="D47" s="162" t="s">
        <v>184</v>
      </c>
      <c r="E47" s="162" t="s">
        <v>185</v>
      </c>
      <c r="F47" s="161" t="s">
        <v>165</v>
      </c>
      <c r="G47" s="163">
        <v>120</v>
      </c>
      <c r="H47" s="164">
        <v>0</v>
      </c>
      <c r="I47" s="164">
        <v>0</v>
      </c>
      <c r="J47" s="126">
        <f t="shared" si="0"/>
        <v>0</v>
      </c>
      <c r="K47" s="126">
        <v>0</v>
      </c>
      <c r="L47" s="126">
        <v>0</v>
      </c>
      <c r="M47" s="126">
        <v>0</v>
      </c>
      <c r="N47" s="126">
        <v>0</v>
      </c>
      <c r="O47" s="126">
        <f t="shared" si="1"/>
        <v>0</v>
      </c>
      <c r="P47" s="126">
        <v>0</v>
      </c>
      <c r="Q47" s="126">
        <v>0</v>
      </c>
      <c r="R47" s="126">
        <v>0</v>
      </c>
      <c r="S47" s="126">
        <v>0</v>
      </c>
      <c r="T47" s="165">
        <f t="shared" si="4"/>
        <v>0</v>
      </c>
      <c r="U47" s="53"/>
      <c r="V47" t="s">
        <v>241</v>
      </c>
      <c r="W47" s="53"/>
      <c r="X47" s="118"/>
      <c r="Z47" s="168">
        <v>80</v>
      </c>
      <c r="AA47" s="123">
        <f t="shared" si="2"/>
        <v>-80</v>
      </c>
    </row>
    <row r="48" spans="1:27" ht="45.65" hidden="1" customHeight="1" x14ac:dyDescent="0.55000000000000004">
      <c r="A48" s="105">
        <f t="shared" si="8"/>
        <v>42</v>
      </c>
      <c r="B48" s="106" t="s">
        <v>283</v>
      </c>
      <c r="C48" s="161" t="s">
        <v>250</v>
      </c>
      <c r="D48" s="162" t="s">
        <v>184</v>
      </c>
      <c r="E48" s="162" t="s">
        <v>185</v>
      </c>
      <c r="F48" s="161" t="s">
        <v>166</v>
      </c>
      <c r="G48" s="163">
        <v>80</v>
      </c>
      <c r="H48" s="164">
        <v>0</v>
      </c>
      <c r="I48" s="164">
        <v>0</v>
      </c>
      <c r="J48" s="126">
        <f t="shared" si="0"/>
        <v>0</v>
      </c>
      <c r="K48" s="126">
        <v>0</v>
      </c>
      <c r="L48" s="126">
        <v>0</v>
      </c>
      <c r="M48" s="126">
        <v>0</v>
      </c>
      <c r="N48" s="126">
        <v>0</v>
      </c>
      <c r="O48" s="126">
        <f t="shared" si="1"/>
        <v>0</v>
      </c>
      <c r="P48" s="126">
        <v>0</v>
      </c>
      <c r="Q48" s="126">
        <v>0</v>
      </c>
      <c r="R48" s="126">
        <v>0</v>
      </c>
      <c r="S48" s="126">
        <v>0</v>
      </c>
      <c r="T48" s="165">
        <f t="shared" si="4"/>
        <v>0</v>
      </c>
      <c r="U48" s="53"/>
      <c r="V48" t="s">
        <v>241</v>
      </c>
      <c r="W48" s="53"/>
      <c r="X48" s="118"/>
      <c r="Z48" s="168">
        <v>240</v>
      </c>
      <c r="AA48" s="123">
        <f t="shared" si="2"/>
        <v>-240</v>
      </c>
    </row>
    <row r="49" spans="1:27" ht="45.65" customHeight="1" x14ac:dyDescent="0.55000000000000004">
      <c r="A49" s="105">
        <f t="shared" si="8"/>
        <v>43</v>
      </c>
      <c r="B49" s="106" t="s">
        <v>284</v>
      </c>
      <c r="C49" s="120" t="s">
        <v>137</v>
      </c>
      <c r="D49" s="121" t="s">
        <v>184</v>
      </c>
      <c r="E49" s="121" t="s">
        <v>185</v>
      </c>
      <c r="F49" s="120" t="s">
        <v>165</v>
      </c>
      <c r="G49" s="106">
        <v>240</v>
      </c>
      <c r="H49" s="110">
        <v>26</v>
      </c>
      <c r="I49" s="110">
        <v>0</v>
      </c>
      <c r="J49" s="111">
        <f t="shared" si="0"/>
        <v>239.99999999999997</v>
      </c>
      <c r="K49" s="111">
        <v>0</v>
      </c>
      <c r="L49" s="111">
        <v>0</v>
      </c>
      <c r="M49" s="111">
        <v>0</v>
      </c>
      <c r="N49" s="111">
        <v>0</v>
      </c>
      <c r="O49" s="111">
        <f t="shared" si="1"/>
        <v>239.99999999999997</v>
      </c>
      <c r="P49" s="111">
        <v>0</v>
      </c>
      <c r="Q49" s="111">
        <v>8.08</v>
      </c>
      <c r="R49" s="111">
        <v>0</v>
      </c>
      <c r="S49" s="111">
        <v>0</v>
      </c>
      <c r="T49" s="112">
        <f t="shared" si="4"/>
        <v>231.91999999999996</v>
      </c>
      <c r="U49" s="51">
        <f>VLOOKUP(B49:B106,[1]Sheet1!$E:$J,6,0)</f>
        <v>231.91999999999996</v>
      </c>
      <c r="V49" t="s">
        <v>241</v>
      </c>
      <c r="W49" s="53"/>
      <c r="X49" s="118"/>
      <c r="Z49" s="168">
        <v>120</v>
      </c>
      <c r="AA49" s="123">
        <f t="shared" si="2"/>
        <v>111.91999999999996</v>
      </c>
    </row>
    <row r="50" spans="1:27" ht="45.65" customHeight="1" x14ac:dyDescent="0.55000000000000004">
      <c r="A50" s="105">
        <f t="shared" si="8"/>
        <v>44</v>
      </c>
      <c r="B50" s="106" t="s">
        <v>285</v>
      </c>
      <c r="C50" s="120" t="s">
        <v>138</v>
      </c>
      <c r="D50" s="121" t="s">
        <v>184</v>
      </c>
      <c r="E50" s="121" t="s">
        <v>185</v>
      </c>
      <c r="F50" s="120" t="s">
        <v>165</v>
      </c>
      <c r="G50" s="106">
        <v>120</v>
      </c>
      <c r="H50" s="110">
        <v>26</v>
      </c>
      <c r="I50" s="110">
        <v>0</v>
      </c>
      <c r="J50" s="111">
        <f t="shared" si="0"/>
        <v>119.99999999999999</v>
      </c>
      <c r="K50" s="111">
        <v>0</v>
      </c>
      <c r="L50" s="111">
        <v>50.77</v>
      </c>
      <c r="M50" s="111">
        <v>0</v>
      </c>
      <c r="N50" s="111">
        <v>0</v>
      </c>
      <c r="O50" s="111">
        <f t="shared" si="1"/>
        <v>170.76999999999998</v>
      </c>
      <c r="P50" s="111">
        <v>0</v>
      </c>
      <c r="Q50" s="111">
        <v>5.77</v>
      </c>
      <c r="R50" s="111">
        <v>0</v>
      </c>
      <c r="S50" s="111">
        <v>0</v>
      </c>
      <c r="T50" s="112">
        <f t="shared" si="4"/>
        <v>164.99999999999997</v>
      </c>
      <c r="U50" s="51">
        <f>VLOOKUP(B50:B107,[1]Sheet1!$E:$J,6,0)</f>
        <v>164.99999999999997</v>
      </c>
      <c r="V50" t="s">
        <v>241</v>
      </c>
      <c r="W50" s="53"/>
      <c r="X50" s="118"/>
      <c r="Z50" s="168">
        <v>100</v>
      </c>
      <c r="AA50" s="123">
        <f t="shared" si="2"/>
        <v>64.999999999999972</v>
      </c>
    </row>
    <row r="51" spans="1:27" ht="45.65" hidden="1" customHeight="1" thickBot="1" x14ac:dyDescent="0.6">
      <c r="A51" s="105">
        <f t="shared" si="8"/>
        <v>45</v>
      </c>
      <c r="B51" s="106" t="s">
        <v>286</v>
      </c>
      <c r="C51" s="129" t="s">
        <v>139</v>
      </c>
      <c r="D51" s="130" t="s">
        <v>184</v>
      </c>
      <c r="E51" s="121" t="s">
        <v>185</v>
      </c>
      <c r="F51" s="129" t="s">
        <v>167</v>
      </c>
      <c r="G51" s="128">
        <v>100</v>
      </c>
      <c r="H51" s="131">
        <v>26</v>
      </c>
      <c r="I51" s="131">
        <v>0</v>
      </c>
      <c r="J51" s="132">
        <f t="shared" si="0"/>
        <v>100</v>
      </c>
      <c r="K51" s="132">
        <v>0</v>
      </c>
      <c r="L51" s="132">
        <v>0</v>
      </c>
      <c r="M51" s="132">
        <v>0</v>
      </c>
      <c r="N51" s="132">
        <v>0</v>
      </c>
      <c r="O51" s="132">
        <f t="shared" si="1"/>
        <v>100</v>
      </c>
      <c r="P51" s="132">
        <v>0</v>
      </c>
      <c r="Q51" s="132">
        <v>0</v>
      </c>
      <c r="R51" s="132">
        <v>0</v>
      </c>
      <c r="S51" s="132">
        <v>0</v>
      </c>
      <c r="T51" s="133">
        <f t="shared" si="4"/>
        <v>100</v>
      </c>
      <c r="U51" s="51">
        <f>VLOOKUP(B51:B108,[1]Sheet1!$E:$J,6,0)</f>
        <v>100</v>
      </c>
      <c r="V51" t="s">
        <v>241</v>
      </c>
      <c r="W51" s="53"/>
      <c r="X51" s="118"/>
      <c r="Z51" s="168">
        <v>250</v>
      </c>
      <c r="AA51" s="123">
        <f t="shared" si="2"/>
        <v>-150</v>
      </c>
    </row>
    <row r="52" spans="1:27" ht="45.65" hidden="1" customHeight="1" x14ac:dyDescent="0.55000000000000004">
      <c r="A52" s="105">
        <f t="shared" si="8"/>
        <v>46</v>
      </c>
      <c r="B52" s="106" t="s">
        <v>287</v>
      </c>
      <c r="C52" s="136" t="s">
        <v>140</v>
      </c>
      <c r="D52" s="137" t="s">
        <v>180</v>
      </c>
      <c r="E52" s="121" t="s">
        <v>185</v>
      </c>
      <c r="F52" s="136" t="s">
        <v>168</v>
      </c>
      <c r="G52" s="135">
        <v>250</v>
      </c>
      <c r="H52" s="138">
        <v>26</v>
      </c>
      <c r="I52" s="138">
        <v>0</v>
      </c>
      <c r="J52" s="139">
        <f t="shared" si="0"/>
        <v>250</v>
      </c>
      <c r="K52" s="139">
        <v>0</v>
      </c>
      <c r="L52" s="139">
        <v>0</v>
      </c>
      <c r="M52" s="139">
        <v>0</v>
      </c>
      <c r="N52" s="139">
        <v>0</v>
      </c>
      <c r="O52" s="139">
        <f t="shared" si="1"/>
        <v>250</v>
      </c>
      <c r="P52" s="139">
        <v>0</v>
      </c>
      <c r="Q52" s="139">
        <v>0</v>
      </c>
      <c r="R52" s="139">
        <v>0</v>
      </c>
      <c r="S52" s="139">
        <v>0</v>
      </c>
      <c r="T52" s="140">
        <f t="shared" si="4"/>
        <v>250</v>
      </c>
      <c r="U52" s="51">
        <f>VLOOKUP(B52:B109,[1]Sheet1!$E:$J,6,0)</f>
        <v>250</v>
      </c>
      <c r="V52" t="s">
        <v>241</v>
      </c>
      <c r="W52" s="53"/>
      <c r="X52" s="118"/>
      <c r="Z52" s="168">
        <v>120</v>
      </c>
      <c r="AA52" s="123">
        <f t="shared" si="2"/>
        <v>130</v>
      </c>
    </row>
    <row r="53" spans="1:27" ht="45.65" hidden="1" customHeight="1" x14ac:dyDescent="0.55000000000000004">
      <c r="A53" s="105">
        <f t="shared" si="8"/>
        <v>47</v>
      </c>
      <c r="B53" s="106" t="s">
        <v>288</v>
      </c>
      <c r="C53" s="107" t="s">
        <v>141</v>
      </c>
      <c r="D53" s="108" t="s">
        <v>184</v>
      </c>
      <c r="E53" s="121" t="s">
        <v>185</v>
      </c>
      <c r="F53" s="107" t="s">
        <v>169</v>
      </c>
      <c r="G53" s="109">
        <v>100</v>
      </c>
      <c r="H53" s="110">
        <v>26</v>
      </c>
      <c r="I53" s="110">
        <v>0</v>
      </c>
      <c r="J53" s="111">
        <f t="shared" si="0"/>
        <v>100</v>
      </c>
      <c r="K53" s="111">
        <v>0</v>
      </c>
      <c r="L53" s="111">
        <v>0</v>
      </c>
      <c r="M53" s="111">
        <v>0</v>
      </c>
      <c r="N53" s="111">
        <v>0</v>
      </c>
      <c r="O53" s="111">
        <f t="shared" si="1"/>
        <v>100</v>
      </c>
      <c r="P53" s="111">
        <v>0</v>
      </c>
      <c r="Q53" s="111">
        <v>0</v>
      </c>
      <c r="R53" s="111">
        <v>0</v>
      </c>
      <c r="S53" s="111">
        <v>0</v>
      </c>
      <c r="T53" s="112">
        <f t="shared" si="4"/>
        <v>100</v>
      </c>
      <c r="U53" s="51">
        <f>VLOOKUP(B53:B110,[1]Sheet1!$E:$J,6,0)</f>
        <v>100</v>
      </c>
      <c r="V53" t="s">
        <v>241</v>
      </c>
      <c r="W53" s="53"/>
      <c r="X53" s="118"/>
      <c r="Z53" s="168">
        <v>150</v>
      </c>
      <c r="AA53" s="123">
        <f t="shared" si="2"/>
        <v>-50</v>
      </c>
    </row>
    <row r="54" spans="1:27" ht="45.65" hidden="1" customHeight="1" x14ac:dyDescent="0.55000000000000004">
      <c r="A54" s="105">
        <f t="shared" si="8"/>
        <v>48</v>
      </c>
      <c r="B54" s="106" t="s">
        <v>289</v>
      </c>
      <c r="C54" s="107" t="s">
        <v>142</v>
      </c>
      <c r="D54" s="108" t="s">
        <v>184</v>
      </c>
      <c r="E54" s="121" t="s">
        <v>185</v>
      </c>
      <c r="F54" s="107" t="s">
        <v>170</v>
      </c>
      <c r="G54" s="109">
        <v>150</v>
      </c>
      <c r="H54" s="110">
        <v>26</v>
      </c>
      <c r="I54" s="110">
        <v>0</v>
      </c>
      <c r="J54" s="111">
        <f t="shared" si="0"/>
        <v>150</v>
      </c>
      <c r="K54" s="111">
        <v>0</v>
      </c>
      <c r="L54" s="111">
        <v>0</v>
      </c>
      <c r="M54" s="111">
        <v>0</v>
      </c>
      <c r="N54" s="111">
        <v>0</v>
      </c>
      <c r="O54" s="111">
        <f t="shared" si="1"/>
        <v>150</v>
      </c>
      <c r="P54" s="111">
        <v>0</v>
      </c>
      <c r="Q54" s="111">
        <v>0</v>
      </c>
      <c r="R54" s="111">
        <v>0</v>
      </c>
      <c r="S54" s="111">
        <v>0</v>
      </c>
      <c r="T54" s="112">
        <f t="shared" si="4"/>
        <v>150</v>
      </c>
      <c r="U54" s="51">
        <f>VLOOKUP(B54:B111,[1]Sheet1!$E:$J,6,0)</f>
        <v>150</v>
      </c>
      <c r="V54" t="s">
        <v>241</v>
      </c>
      <c r="W54" s="53"/>
      <c r="X54" s="118"/>
      <c r="Z54" s="168">
        <v>100</v>
      </c>
      <c r="AA54" s="123">
        <f t="shared" si="2"/>
        <v>50</v>
      </c>
    </row>
    <row r="55" spans="1:27" ht="45.65" hidden="1" customHeight="1" x14ac:dyDescent="0.55000000000000004">
      <c r="A55" s="105">
        <f t="shared" si="8"/>
        <v>49</v>
      </c>
      <c r="B55" s="106" t="s">
        <v>290</v>
      </c>
      <c r="C55" s="107" t="s">
        <v>251</v>
      </c>
      <c r="D55" s="108" t="s">
        <v>184</v>
      </c>
      <c r="E55" s="108" t="s">
        <v>185</v>
      </c>
      <c r="F55" s="107" t="s">
        <v>169</v>
      </c>
      <c r="G55" s="109">
        <v>100</v>
      </c>
      <c r="H55" s="110">
        <v>26</v>
      </c>
      <c r="I55" s="110">
        <v>0</v>
      </c>
      <c r="J55" s="111">
        <f t="shared" si="0"/>
        <v>100</v>
      </c>
      <c r="K55" s="111">
        <v>0</v>
      </c>
      <c r="L55" s="111">
        <v>0</v>
      </c>
      <c r="M55" s="111">
        <v>0</v>
      </c>
      <c r="N55" s="111">
        <v>0</v>
      </c>
      <c r="O55" s="111">
        <f t="shared" si="1"/>
        <v>100</v>
      </c>
      <c r="P55" s="111">
        <v>0</v>
      </c>
      <c r="Q55" s="111">
        <v>0</v>
      </c>
      <c r="R55" s="111">
        <v>0</v>
      </c>
      <c r="S55" s="111">
        <v>0</v>
      </c>
      <c r="T55" s="112">
        <f t="shared" si="4"/>
        <v>100</v>
      </c>
      <c r="U55" s="51">
        <f>VLOOKUP(B55:B112,[1]Sheet1!$E:$J,6,0)</f>
        <v>100</v>
      </c>
      <c r="V55" t="s">
        <v>241</v>
      </c>
      <c r="W55" s="53"/>
      <c r="X55" s="118"/>
      <c r="Z55" s="168">
        <v>238.85</v>
      </c>
      <c r="AA55" s="123">
        <f t="shared" si="2"/>
        <v>-138.85</v>
      </c>
    </row>
    <row r="56" spans="1:27" ht="45.65" customHeight="1" x14ac:dyDescent="0.55000000000000004">
      <c r="A56" s="105">
        <f t="shared" si="8"/>
        <v>50</v>
      </c>
      <c r="B56" s="106" t="s">
        <v>291</v>
      </c>
      <c r="C56" s="107" t="s">
        <v>252</v>
      </c>
      <c r="D56" s="108" t="s">
        <v>177</v>
      </c>
      <c r="E56" s="108" t="s">
        <v>185</v>
      </c>
      <c r="F56" s="107"/>
      <c r="G56" s="109">
        <v>270</v>
      </c>
      <c r="H56" s="110">
        <v>26</v>
      </c>
      <c r="I56" s="110">
        <v>0</v>
      </c>
      <c r="J56" s="111">
        <f>G56/26*H56</f>
        <v>270</v>
      </c>
      <c r="K56" s="111">
        <v>0</v>
      </c>
      <c r="L56" s="111">
        <v>0</v>
      </c>
      <c r="M56" s="111">
        <v>0</v>
      </c>
      <c r="N56" s="111">
        <v>0</v>
      </c>
      <c r="O56" s="111">
        <f>J56+K56+L56+M56+N56</f>
        <v>270</v>
      </c>
      <c r="P56" s="111">
        <v>0</v>
      </c>
      <c r="Q56" s="111">
        <v>176.54</v>
      </c>
      <c r="R56" s="111">
        <v>0</v>
      </c>
      <c r="S56" s="111">
        <v>0</v>
      </c>
      <c r="T56" s="112">
        <f>O56-P56-Q56-R56-S56</f>
        <v>93.460000000000008</v>
      </c>
      <c r="U56" s="51">
        <f>VLOOKUP(B56:B113,[1]Sheet1!$E:$J,6,0)</f>
        <v>93.460000000000008</v>
      </c>
      <c r="V56" t="s">
        <v>241</v>
      </c>
      <c r="W56" s="53"/>
      <c r="X56" s="118"/>
      <c r="Z56" s="168">
        <v>500</v>
      </c>
      <c r="AA56" s="123">
        <f t="shared" si="2"/>
        <v>-406.53999999999996</v>
      </c>
    </row>
    <row r="57" spans="1:27" ht="45.65" hidden="1" customHeight="1" x14ac:dyDescent="0.55000000000000004">
      <c r="A57" s="105">
        <f t="shared" si="8"/>
        <v>51</v>
      </c>
      <c r="B57" s="106" t="s">
        <v>298</v>
      </c>
      <c r="C57" s="107" t="s">
        <v>253</v>
      </c>
      <c r="D57" s="108" t="s">
        <v>178</v>
      </c>
      <c r="E57" s="108" t="s">
        <v>185</v>
      </c>
      <c r="F57" s="107"/>
      <c r="G57" s="109">
        <v>500</v>
      </c>
      <c r="H57" s="110">
        <v>26</v>
      </c>
      <c r="I57" s="110">
        <v>0</v>
      </c>
      <c r="J57" s="111">
        <f t="shared" ref="J57:J60" si="9">G57/26*H57</f>
        <v>500</v>
      </c>
      <c r="K57" s="111">
        <v>0</v>
      </c>
      <c r="L57" s="111">
        <v>0</v>
      </c>
      <c r="M57" s="111">
        <v>0</v>
      </c>
      <c r="N57" s="111">
        <v>0</v>
      </c>
      <c r="O57" s="111">
        <f t="shared" ref="O57:O60" si="10">J57+K57+L57+M57+N57</f>
        <v>500</v>
      </c>
      <c r="P57" s="111">
        <v>0</v>
      </c>
      <c r="Q57" s="111">
        <v>0</v>
      </c>
      <c r="R57" s="111">
        <v>0</v>
      </c>
      <c r="S57" s="111">
        <v>0</v>
      </c>
      <c r="T57" s="112">
        <f>O57-P57-Q57-R57-S57</f>
        <v>500</v>
      </c>
      <c r="U57" s="51">
        <f>VLOOKUP(B57:B114,[1]Sheet1!$E:$J,6,0)</f>
        <v>500</v>
      </c>
      <c r="W57" s="53"/>
      <c r="X57" s="118"/>
      <c r="Y57" t="s">
        <v>256</v>
      </c>
      <c r="Z57" s="168">
        <v>350</v>
      </c>
      <c r="AA57" s="123">
        <f t="shared" si="2"/>
        <v>150</v>
      </c>
    </row>
    <row r="58" spans="1:27" ht="45.65" hidden="1" customHeight="1" x14ac:dyDescent="0.55000000000000004">
      <c r="A58" s="105">
        <f t="shared" si="8"/>
        <v>52</v>
      </c>
      <c r="B58" s="106" t="s">
        <v>292</v>
      </c>
      <c r="C58" s="107" t="s">
        <v>254</v>
      </c>
      <c r="D58" s="108" t="s">
        <v>178</v>
      </c>
      <c r="E58" s="108" t="s">
        <v>185</v>
      </c>
      <c r="F58" s="107"/>
      <c r="G58" s="109">
        <v>350</v>
      </c>
      <c r="H58" s="110">
        <v>26</v>
      </c>
      <c r="I58" s="110">
        <v>0</v>
      </c>
      <c r="J58" s="111">
        <f t="shared" si="9"/>
        <v>350</v>
      </c>
      <c r="K58" s="111">
        <v>0</v>
      </c>
      <c r="L58" s="111">
        <v>0</v>
      </c>
      <c r="M58" s="111">
        <v>0</v>
      </c>
      <c r="N58" s="111">
        <v>0</v>
      </c>
      <c r="O58" s="111">
        <f t="shared" si="10"/>
        <v>350</v>
      </c>
      <c r="P58" s="111">
        <v>0</v>
      </c>
      <c r="Q58" s="111">
        <v>0</v>
      </c>
      <c r="R58" s="111">
        <v>0</v>
      </c>
      <c r="S58" s="111">
        <v>0</v>
      </c>
      <c r="T58" s="112">
        <f t="shared" si="4"/>
        <v>350</v>
      </c>
      <c r="U58" s="51">
        <f>VLOOKUP(B58:B115,[1]Sheet1!$E:$J,6,0)</f>
        <v>350</v>
      </c>
      <c r="W58" s="53"/>
      <c r="X58" s="118"/>
      <c r="Z58" s="168">
        <v>600</v>
      </c>
      <c r="AA58" s="123">
        <f t="shared" si="2"/>
        <v>-250</v>
      </c>
    </row>
    <row r="59" spans="1:27" ht="45.65" hidden="1" customHeight="1" x14ac:dyDescent="0.55000000000000004">
      <c r="A59" s="105">
        <f t="shared" si="8"/>
        <v>53</v>
      </c>
      <c r="B59" s="106" t="s">
        <v>293</v>
      </c>
      <c r="C59" s="107" t="s">
        <v>259</v>
      </c>
      <c r="D59" s="108" t="s">
        <v>178</v>
      </c>
      <c r="E59" s="108" t="s">
        <v>185</v>
      </c>
      <c r="F59" s="107"/>
      <c r="G59" s="109">
        <v>80</v>
      </c>
      <c r="H59" s="110">
        <v>26</v>
      </c>
      <c r="I59" s="110">
        <v>0</v>
      </c>
      <c r="J59" s="111">
        <f t="shared" si="9"/>
        <v>80</v>
      </c>
      <c r="K59" s="111">
        <v>0</v>
      </c>
      <c r="L59" s="111">
        <v>0</v>
      </c>
      <c r="M59" s="111">
        <v>0</v>
      </c>
      <c r="N59" s="111">
        <v>0</v>
      </c>
      <c r="O59" s="111">
        <f t="shared" si="10"/>
        <v>80</v>
      </c>
      <c r="P59" s="111">
        <v>0</v>
      </c>
      <c r="Q59" s="111">
        <v>0</v>
      </c>
      <c r="R59" s="111">
        <v>0</v>
      </c>
      <c r="S59" s="111">
        <v>0</v>
      </c>
      <c r="T59" s="112">
        <f t="shared" si="4"/>
        <v>80</v>
      </c>
      <c r="U59" s="51">
        <f>VLOOKUP(B59:B116,[1]Sheet1!$E:$J,6,0)</f>
        <v>80</v>
      </c>
      <c r="W59" s="53"/>
      <c r="X59" s="118"/>
      <c r="Z59" s="168"/>
      <c r="AA59" s="123"/>
    </row>
    <row r="60" spans="1:27" ht="45.65" hidden="1" customHeight="1" x14ac:dyDescent="0.55000000000000004">
      <c r="A60" s="105">
        <f t="shared" si="8"/>
        <v>54</v>
      </c>
      <c r="B60" s="106" t="s">
        <v>294</v>
      </c>
      <c r="C60" s="107" t="s">
        <v>260</v>
      </c>
      <c r="D60" s="108" t="s">
        <v>178</v>
      </c>
      <c r="E60" s="108" t="s">
        <v>185</v>
      </c>
      <c r="F60" s="107"/>
      <c r="G60" s="109">
        <v>60</v>
      </c>
      <c r="H60" s="110">
        <v>26</v>
      </c>
      <c r="I60" s="110">
        <v>0</v>
      </c>
      <c r="J60" s="111">
        <f t="shared" si="9"/>
        <v>59.999999999999993</v>
      </c>
      <c r="K60" s="111">
        <v>0</v>
      </c>
      <c r="L60" s="111"/>
      <c r="M60" s="111">
        <v>0</v>
      </c>
      <c r="N60" s="111">
        <v>0</v>
      </c>
      <c r="O60" s="111">
        <f t="shared" si="10"/>
        <v>59.999999999999993</v>
      </c>
      <c r="P60" s="111">
        <v>0</v>
      </c>
      <c r="Q60" s="111">
        <v>0</v>
      </c>
      <c r="R60" s="111">
        <v>0</v>
      </c>
      <c r="S60" s="111">
        <v>0</v>
      </c>
      <c r="T60" s="112">
        <f t="shared" si="4"/>
        <v>59.999999999999993</v>
      </c>
      <c r="U60" s="51">
        <f>VLOOKUP(B60:B117,[1]Sheet1!$E:$J,6,0)</f>
        <v>59.999999999999993</v>
      </c>
      <c r="W60" s="53"/>
      <c r="X60" s="118"/>
      <c r="Z60" s="168"/>
      <c r="AA60" s="123"/>
    </row>
    <row r="61" spans="1:27" ht="45.65" hidden="1" customHeight="1" x14ac:dyDescent="0.55000000000000004">
      <c r="A61" s="105">
        <v>55</v>
      </c>
      <c r="B61" s="106" t="s">
        <v>297</v>
      </c>
      <c r="C61" s="107" t="s">
        <v>296</v>
      </c>
      <c r="D61" s="108" t="s">
        <v>178</v>
      </c>
      <c r="E61" s="108" t="s">
        <v>185</v>
      </c>
      <c r="F61" s="107"/>
      <c r="G61" s="109">
        <v>135</v>
      </c>
      <c r="H61" s="110">
        <v>26</v>
      </c>
      <c r="I61" s="110">
        <v>0</v>
      </c>
      <c r="J61" s="111">
        <f t="shared" ref="J61" si="11">G61/26*H61</f>
        <v>135</v>
      </c>
      <c r="K61" s="111">
        <v>0</v>
      </c>
      <c r="L61" s="111"/>
      <c r="M61" s="111">
        <v>0</v>
      </c>
      <c r="N61" s="111">
        <v>0</v>
      </c>
      <c r="O61" s="111">
        <f t="shared" ref="O61" si="12">J61+K61+L61+M61+N61</f>
        <v>135</v>
      </c>
      <c r="P61" s="111">
        <v>0</v>
      </c>
      <c r="Q61" s="111">
        <v>0</v>
      </c>
      <c r="R61" s="111">
        <v>0</v>
      </c>
      <c r="S61" s="111">
        <v>0</v>
      </c>
      <c r="T61" s="112">
        <f t="shared" ref="T61" si="13">O61-P61-Q61-R61-S61</f>
        <v>135</v>
      </c>
      <c r="U61" s="51" t="str">
        <f>VLOOKUP(B61:B118,[1]Sheet1!$E:$J,6,0)</f>
        <v>bec</v>
      </c>
      <c r="W61" s="53"/>
      <c r="X61" s="118"/>
      <c r="Z61" s="168"/>
      <c r="AA61" s="123"/>
    </row>
    <row r="62" spans="1:27" ht="45.65" hidden="1" customHeight="1" x14ac:dyDescent="0.55000000000000004">
      <c r="A62" s="105">
        <f>A60+1</f>
        <v>55</v>
      </c>
      <c r="B62" s="106" t="s">
        <v>237</v>
      </c>
      <c r="C62" s="107" t="s">
        <v>213</v>
      </c>
      <c r="D62" s="108" t="s">
        <v>177</v>
      </c>
      <c r="E62" s="108" t="s">
        <v>185</v>
      </c>
      <c r="F62" s="107"/>
      <c r="G62" s="141">
        <v>600</v>
      </c>
      <c r="H62" s="110">
        <v>26</v>
      </c>
      <c r="I62" s="110">
        <v>0</v>
      </c>
      <c r="J62" s="111">
        <f t="shared" si="0"/>
        <v>600</v>
      </c>
      <c r="K62" s="111">
        <v>0</v>
      </c>
      <c r="L62" s="111">
        <v>0</v>
      </c>
      <c r="M62" s="111">
        <v>0</v>
      </c>
      <c r="N62" s="111">
        <v>0</v>
      </c>
      <c r="O62" s="111">
        <f t="shared" si="1"/>
        <v>600</v>
      </c>
      <c r="P62" s="111">
        <v>0</v>
      </c>
      <c r="Q62" s="153">
        <v>0</v>
      </c>
      <c r="R62" s="111">
        <v>0</v>
      </c>
      <c r="S62" s="151">
        <v>176.3</v>
      </c>
      <c r="T62" s="112">
        <f t="shared" si="4"/>
        <v>423.7</v>
      </c>
      <c r="U62" s="53" t="s">
        <v>176</v>
      </c>
      <c r="V62" t="s">
        <v>197</v>
      </c>
      <c r="W62" s="53">
        <v>600</v>
      </c>
      <c r="X62" s="118">
        <v>-176.3</v>
      </c>
      <c r="Y62" t="s">
        <v>256</v>
      </c>
      <c r="Z62" s="168">
        <v>422.65</v>
      </c>
      <c r="AA62" s="123">
        <f t="shared" si="2"/>
        <v>1.0500000000000114</v>
      </c>
    </row>
    <row r="63" spans="1:27" ht="45.65" customHeight="1" thickBot="1" x14ac:dyDescent="0.6">
      <c r="A63" s="105">
        <f t="shared" si="8"/>
        <v>56</v>
      </c>
      <c r="B63" s="106" t="s">
        <v>238</v>
      </c>
      <c r="C63" s="107" t="s">
        <v>214</v>
      </c>
      <c r="D63" s="108" t="s">
        <v>177</v>
      </c>
      <c r="E63" s="108" t="s">
        <v>191</v>
      </c>
      <c r="F63" s="107" t="s">
        <v>295</v>
      </c>
      <c r="G63" s="141">
        <v>422.6</v>
      </c>
      <c r="H63" s="110">
        <v>26</v>
      </c>
      <c r="I63" s="110">
        <v>0</v>
      </c>
      <c r="J63" s="111">
        <f t="shared" si="0"/>
        <v>422.6</v>
      </c>
      <c r="K63" s="111">
        <v>0</v>
      </c>
      <c r="L63" s="111">
        <v>0</v>
      </c>
      <c r="M63" s="111">
        <v>0</v>
      </c>
      <c r="N63" s="111">
        <v>0</v>
      </c>
      <c r="O63" s="111">
        <f t="shared" si="1"/>
        <v>422.6</v>
      </c>
      <c r="P63" s="111">
        <v>0</v>
      </c>
      <c r="Q63" s="111">
        <v>195.05</v>
      </c>
      <c r="R63" s="111">
        <v>0</v>
      </c>
      <c r="S63" s="111">
        <v>0</v>
      </c>
      <c r="T63" s="112">
        <f t="shared" si="4"/>
        <v>227.55</v>
      </c>
      <c r="U63" s="53"/>
      <c r="V63" t="s">
        <v>197</v>
      </c>
      <c r="W63" s="53"/>
      <c r="X63" s="118"/>
      <c r="Y63" t="s">
        <v>256</v>
      </c>
    </row>
    <row r="64" spans="1:27" ht="45.65" hidden="1" customHeight="1" x14ac:dyDescent="0.55000000000000004">
      <c r="A64" s="105">
        <v>55</v>
      </c>
      <c r="B64" s="106" t="s">
        <v>239</v>
      </c>
      <c r="C64" s="107" t="s">
        <v>175</v>
      </c>
      <c r="D64" s="108"/>
      <c r="E64" s="108" t="s">
        <v>192</v>
      </c>
      <c r="F64" s="107"/>
      <c r="G64" s="109">
        <v>300</v>
      </c>
      <c r="H64" s="110">
        <v>26</v>
      </c>
      <c r="I64" s="110">
        <v>0</v>
      </c>
      <c r="J64" s="111">
        <f t="shared" si="0"/>
        <v>300</v>
      </c>
      <c r="K64" s="111">
        <v>0</v>
      </c>
      <c r="L64" s="111">
        <v>0</v>
      </c>
      <c r="M64" s="111">
        <v>0</v>
      </c>
      <c r="N64" s="111">
        <v>0</v>
      </c>
      <c r="O64" s="111">
        <f t="shared" si="1"/>
        <v>300</v>
      </c>
      <c r="P64" s="111">
        <v>0</v>
      </c>
      <c r="Q64" s="153">
        <v>0</v>
      </c>
      <c r="R64" s="111">
        <v>0</v>
      </c>
      <c r="S64" s="151">
        <v>300</v>
      </c>
      <c r="T64" s="112">
        <f t="shared" si="4"/>
        <v>0</v>
      </c>
      <c r="U64" s="53" t="s">
        <v>176</v>
      </c>
      <c r="V64" t="s">
        <v>197</v>
      </c>
      <c r="W64" s="53">
        <v>300</v>
      </c>
      <c r="X64" s="118">
        <v>-300</v>
      </c>
      <c r="Y64" t="s">
        <v>256</v>
      </c>
    </row>
    <row r="65" spans="1:25" ht="45.65" hidden="1" customHeight="1" x14ac:dyDescent="0.55000000000000004">
      <c r="A65" s="105">
        <v>56</v>
      </c>
      <c r="B65" s="106" t="s">
        <v>240</v>
      </c>
      <c r="C65" s="107" t="s">
        <v>145</v>
      </c>
      <c r="D65" s="108"/>
      <c r="E65" s="108" t="s">
        <v>192</v>
      </c>
      <c r="F65" s="107"/>
      <c r="G65" s="109">
        <v>600</v>
      </c>
      <c r="H65" s="110">
        <v>26</v>
      </c>
      <c r="I65" s="110">
        <v>0</v>
      </c>
      <c r="J65" s="111">
        <f t="shared" si="0"/>
        <v>600</v>
      </c>
      <c r="K65" s="111">
        <v>0</v>
      </c>
      <c r="L65" s="111">
        <v>0</v>
      </c>
      <c r="M65" s="111">
        <v>0</v>
      </c>
      <c r="N65" s="111">
        <v>0</v>
      </c>
      <c r="O65" s="111">
        <f t="shared" si="1"/>
        <v>600</v>
      </c>
      <c r="P65" s="111">
        <v>0</v>
      </c>
      <c r="Q65" s="153">
        <v>0</v>
      </c>
      <c r="R65" s="111">
        <v>0</v>
      </c>
      <c r="S65" s="151">
        <v>600</v>
      </c>
      <c r="T65" s="112">
        <f t="shared" si="4"/>
        <v>0</v>
      </c>
      <c r="U65" s="52" t="s">
        <v>176</v>
      </c>
      <c r="V65" t="s">
        <v>197</v>
      </c>
      <c r="W65" s="53">
        <v>600</v>
      </c>
      <c r="X65" s="118">
        <v>-600</v>
      </c>
      <c r="Y65" t="s">
        <v>256</v>
      </c>
    </row>
    <row r="66" spans="1:25" ht="45.65" hidden="1" customHeight="1" x14ac:dyDescent="0.55000000000000004">
      <c r="A66" s="105">
        <v>57</v>
      </c>
      <c r="B66" s="106"/>
      <c r="C66" s="107"/>
      <c r="D66" s="108"/>
      <c r="E66" s="108"/>
      <c r="F66" s="107"/>
      <c r="G66" s="109"/>
      <c r="H66" s="110">
        <v>26</v>
      </c>
      <c r="I66" s="110">
        <v>0</v>
      </c>
      <c r="J66" s="111">
        <f t="shared" si="0"/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f t="shared" si="1"/>
        <v>0</v>
      </c>
      <c r="P66" s="111">
        <v>0</v>
      </c>
      <c r="Q66" s="111">
        <v>0</v>
      </c>
      <c r="R66" s="111">
        <v>0</v>
      </c>
      <c r="S66" s="111">
        <v>0</v>
      </c>
      <c r="T66" s="112">
        <f t="shared" si="4"/>
        <v>0</v>
      </c>
      <c r="U66" s="51"/>
      <c r="W66" s="53"/>
      <c r="X66" s="118"/>
    </row>
    <row r="67" spans="1:25" ht="45.65" hidden="1" customHeight="1" x14ac:dyDescent="0.55000000000000004">
      <c r="A67" s="105">
        <v>58</v>
      </c>
      <c r="B67" s="106"/>
      <c r="C67" s="107"/>
      <c r="D67" s="108"/>
      <c r="E67" s="108"/>
      <c r="F67" s="107"/>
      <c r="G67" s="109"/>
      <c r="H67" s="110">
        <v>26</v>
      </c>
      <c r="I67" s="110">
        <v>0</v>
      </c>
      <c r="J67" s="111">
        <f t="shared" si="0"/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f t="shared" si="1"/>
        <v>0</v>
      </c>
      <c r="P67" s="111">
        <v>0</v>
      </c>
      <c r="Q67" s="111">
        <v>0</v>
      </c>
      <c r="R67" s="111">
        <v>0</v>
      </c>
      <c r="S67" s="111">
        <v>0</v>
      </c>
      <c r="T67" s="112">
        <f t="shared" si="4"/>
        <v>0</v>
      </c>
      <c r="U67" s="51"/>
      <c r="W67" s="53"/>
      <c r="X67" s="118"/>
    </row>
    <row r="68" spans="1:25" ht="45.65" hidden="1" customHeight="1" thickBot="1" x14ac:dyDescent="0.6">
      <c r="A68" s="105">
        <v>59</v>
      </c>
      <c r="B68" s="106"/>
      <c r="C68" s="144"/>
      <c r="D68" s="145"/>
      <c r="E68" s="145"/>
      <c r="F68" s="144"/>
      <c r="G68" s="146"/>
      <c r="H68" s="147">
        <v>26</v>
      </c>
      <c r="I68" s="147">
        <v>0</v>
      </c>
      <c r="J68" s="148">
        <f t="shared" si="0"/>
        <v>0</v>
      </c>
      <c r="K68" s="148">
        <v>0</v>
      </c>
      <c r="L68" s="148">
        <v>0</v>
      </c>
      <c r="M68" s="148">
        <v>0</v>
      </c>
      <c r="N68" s="148">
        <v>0</v>
      </c>
      <c r="O68" s="148">
        <f t="shared" si="1"/>
        <v>0</v>
      </c>
      <c r="P68" s="148">
        <v>0</v>
      </c>
      <c r="Q68" s="148">
        <v>0</v>
      </c>
      <c r="R68" s="148">
        <v>0</v>
      </c>
      <c r="S68" s="148">
        <v>0</v>
      </c>
      <c r="T68" s="149">
        <f t="shared" si="4"/>
        <v>0</v>
      </c>
      <c r="U68" s="54"/>
      <c r="W68" s="53"/>
      <c r="X68" s="118"/>
    </row>
    <row r="69" spans="1:25" ht="50.15" customHeight="1" thickBot="1" x14ac:dyDescent="0.45">
      <c r="A69" s="157" t="s">
        <v>0</v>
      </c>
      <c r="B69" s="158"/>
      <c r="C69" s="158"/>
      <c r="D69" s="158"/>
      <c r="E69" s="158"/>
      <c r="F69" s="158"/>
      <c r="G69" s="158"/>
      <c r="H69" s="158"/>
      <c r="I69" s="159"/>
      <c r="J69" s="116">
        <f t="shared" ref="J69:T69" si="14">SUBTOTAL(9,J6:J68)</f>
        <v>3532.6</v>
      </c>
      <c r="K69" s="116">
        <f t="shared" si="14"/>
        <v>0</v>
      </c>
      <c r="L69" s="116">
        <f t="shared" si="14"/>
        <v>50.77</v>
      </c>
      <c r="M69" s="116">
        <f t="shared" si="14"/>
        <v>0</v>
      </c>
      <c r="N69" s="116">
        <f t="shared" si="14"/>
        <v>0</v>
      </c>
      <c r="O69" s="116">
        <f t="shared" si="14"/>
        <v>3583.37</v>
      </c>
      <c r="P69" s="116">
        <f t="shared" si="14"/>
        <v>0</v>
      </c>
      <c r="Q69" s="116">
        <f t="shared" si="14"/>
        <v>631.42000000000007</v>
      </c>
      <c r="R69" s="116">
        <f t="shared" si="14"/>
        <v>50</v>
      </c>
      <c r="S69" s="152">
        <f t="shared" si="14"/>
        <v>0</v>
      </c>
      <c r="T69" s="124">
        <f t="shared" si="14"/>
        <v>2901.9500000000003</v>
      </c>
      <c r="U69" s="116"/>
      <c r="W69" s="116">
        <f t="shared" ref="W69:X69" si="15">SUBTOTAL(9,W6:W68)</f>
        <v>0</v>
      </c>
      <c r="X69" s="116">
        <f t="shared" si="15"/>
        <v>0</v>
      </c>
    </row>
    <row r="73" spans="1:25" x14ac:dyDescent="0.4">
      <c r="O73" s="123"/>
      <c r="R73" s="123"/>
    </row>
  </sheetData>
  <autoFilter ref="A5:X68" xr:uid="{00000000-0001-0000-0300-000000000000}">
    <filterColumn colId="16">
      <filters>
        <filter val="165.380"/>
        <filter val="176.540"/>
        <filter val="195.050"/>
        <filter val="3.530"/>
        <filter val="4.950"/>
        <filter val="5.770"/>
        <filter val="60.580"/>
        <filter val="8.080"/>
      </filters>
    </filterColumn>
  </autoFilter>
  <mergeCells count="17">
    <mergeCell ref="T4:T5"/>
    <mergeCell ref="U4:U5"/>
    <mergeCell ref="W4:W5"/>
    <mergeCell ref="A1:X1"/>
    <mergeCell ref="A2:X2"/>
    <mergeCell ref="A3:X3"/>
    <mergeCell ref="A4:A5"/>
    <mergeCell ref="B4:B5"/>
    <mergeCell ref="C4:C5"/>
    <mergeCell ref="D4:D5"/>
    <mergeCell ref="F4:F5"/>
    <mergeCell ref="G4:G5"/>
    <mergeCell ref="H4:H5"/>
    <mergeCell ref="X4:X5"/>
    <mergeCell ref="I4:I5"/>
    <mergeCell ref="J4:O4"/>
    <mergeCell ref="P4:S4"/>
  </mergeCells>
  <conditionalFormatting sqref="C6:C68">
    <cfRule type="duplicateValues" dxfId="1" priority="1"/>
  </conditionalFormatting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23C1-7466-4D8D-85C5-9572ADCCD9B9}">
  <dimension ref="A1:W66"/>
  <sheetViews>
    <sheetView zoomScale="60" zoomScaleNormal="60" workbookViewId="0">
      <pane ySplit="5" topLeftCell="A20" activePane="bottomLeft" state="frozen"/>
      <selection pane="bottomLeft" activeCell="I9" sqref="I9"/>
    </sheetView>
  </sheetViews>
  <sheetFormatPr defaultRowHeight="14.6" x14ac:dyDescent="0.4"/>
  <cols>
    <col min="3" max="3" width="34.69140625" style="4" customWidth="1"/>
    <col min="4" max="4" width="15.3828125" customWidth="1"/>
    <col min="5" max="5" width="16" customWidth="1"/>
    <col min="6" max="6" width="12.15234375" customWidth="1"/>
    <col min="7" max="7" width="12" customWidth="1"/>
    <col min="8" max="8" width="10.84375" customWidth="1"/>
    <col min="9" max="9" width="16.15234375" customWidth="1"/>
    <col min="10" max="10" width="17.15234375" customWidth="1"/>
    <col min="11" max="11" width="11" customWidth="1"/>
    <col min="12" max="12" width="14" customWidth="1"/>
    <col min="13" max="13" width="11.3046875" customWidth="1"/>
    <col min="14" max="14" width="15.15234375" customWidth="1"/>
    <col min="15" max="15" width="11.53515625" customWidth="1"/>
    <col min="16" max="16" width="14.3828125" customWidth="1"/>
    <col min="17" max="17" width="10.15234375" customWidth="1"/>
    <col min="18" max="18" width="10.53515625" customWidth="1"/>
    <col min="19" max="19" width="21.15234375" customWidth="1"/>
    <col min="20" max="20" width="22.53515625" customWidth="1"/>
    <col min="21" max="21" width="4.15234375" customWidth="1"/>
    <col min="22" max="22" width="18.3046875" customWidth="1"/>
    <col min="23" max="23" width="17" customWidth="1"/>
  </cols>
  <sheetData>
    <row r="1" spans="1:23" ht="51.65" customHeight="1" thickBot="1" x14ac:dyDescent="0.45">
      <c r="A1" s="273" t="s">
        <v>74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5"/>
    </row>
    <row r="2" spans="1:23" ht="53.15" customHeight="1" thickBot="1" x14ac:dyDescent="0.45">
      <c r="A2" s="247" t="s">
        <v>28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9"/>
    </row>
    <row r="3" spans="1:23" ht="45.65" customHeight="1" thickBot="1" x14ac:dyDescent="0.45">
      <c r="A3" s="247" t="s">
        <v>26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9"/>
    </row>
    <row r="4" spans="1:23" s="71" customFormat="1" ht="30" customHeight="1" thickBot="1" x14ac:dyDescent="0.55000000000000004">
      <c r="A4" s="276" t="s">
        <v>2</v>
      </c>
      <c r="B4" s="229" t="s">
        <v>23</v>
      </c>
      <c r="C4" s="229" t="s">
        <v>4</v>
      </c>
      <c r="D4" s="263" t="s">
        <v>6</v>
      </c>
      <c r="E4" s="229" t="s">
        <v>5</v>
      </c>
      <c r="F4" s="229" t="s">
        <v>7</v>
      </c>
      <c r="G4" s="229" t="s">
        <v>21</v>
      </c>
      <c r="H4" s="229" t="s">
        <v>8</v>
      </c>
      <c r="I4" s="277" t="s">
        <v>3</v>
      </c>
      <c r="J4" s="277"/>
      <c r="K4" s="277"/>
      <c r="L4" s="277"/>
      <c r="M4" s="277"/>
      <c r="N4" s="277"/>
      <c r="O4" s="277" t="s">
        <v>1</v>
      </c>
      <c r="P4" s="277"/>
      <c r="Q4" s="277"/>
      <c r="R4" s="277"/>
      <c r="S4" s="229" t="s">
        <v>19</v>
      </c>
      <c r="T4" s="229" t="s">
        <v>20</v>
      </c>
      <c r="V4" s="229" t="s">
        <v>75</v>
      </c>
      <c r="W4" s="229" t="s">
        <v>76</v>
      </c>
    </row>
    <row r="5" spans="1:23" s="71" customFormat="1" ht="88.5" customHeight="1" x14ac:dyDescent="0.5">
      <c r="A5" s="225"/>
      <c r="B5" s="226"/>
      <c r="C5" s="226"/>
      <c r="D5" s="227"/>
      <c r="E5" s="225"/>
      <c r="F5" s="226"/>
      <c r="G5" s="226"/>
      <c r="H5" s="226"/>
      <c r="I5" s="104" t="s">
        <v>9</v>
      </c>
      <c r="J5" s="104" t="s">
        <v>10</v>
      </c>
      <c r="K5" s="104" t="s">
        <v>11</v>
      </c>
      <c r="L5" s="104" t="s">
        <v>12</v>
      </c>
      <c r="M5" s="104" t="s">
        <v>14</v>
      </c>
      <c r="N5" s="104" t="s">
        <v>15</v>
      </c>
      <c r="O5" s="104" t="s">
        <v>16</v>
      </c>
      <c r="P5" s="104" t="s">
        <v>17</v>
      </c>
      <c r="Q5" s="104" t="s">
        <v>18</v>
      </c>
      <c r="R5" s="104" t="s">
        <v>14</v>
      </c>
      <c r="S5" s="226"/>
      <c r="T5" s="226"/>
      <c r="V5" s="226"/>
      <c r="W5" s="226"/>
    </row>
    <row r="6" spans="1:23" ht="45.65" customHeight="1" x14ac:dyDescent="0.55000000000000004">
      <c r="A6" s="105">
        <v>1</v>
      </c>
      <c r="B6" s="106">
        <v>1001</v>
      </c>
      <c r="C6" s="107" t="s">
        <v>29</v>
      </c>
      <c r="D6" s="108"/>
      <c r="E6" s="107"/>
      <c r="F6" s="109">
        <v>575</v>
      </c>
      <c r="G6" s="110">
        <v>26</v>
      </c>
      <c r="H6" s="110">
        <v>0</v>
      </c>
      <c r="I6" s="111">
        <f t="shared" ref="I6:I65" si="0">F6/26*G6</f>
        <v>575</v>
      </c>
      <c r="J6" s="111">
        <v>0</v>
      </c>
      <c r="K6" s="111">
        <v>0</v>
      </c>
      <c r="L6" s="111">
        <v>0</v>
      </c>
      <c r="M6" s="111">
        <v>0</v>
      </c>
      <c r="N6" s="111">
        <f>I6+J6+K6+L6+M6</f>
        <v>575</v>
      </c>
      <c r="O6" s="111">
        <v>0</v>
      </c>
      <c r="P6" s="111">
        <v>0</v>
      </c>
      <c r="Q6" s="111">
        <v>0</v>
      </c>
      <c r="R6" s="111">
        <v>0</v>
      </c>
      <c r="S6" s="112">
        <f>N6-O6-P6-Q6-R6</f>
        <v>575</v>
      </c>
      <c r="T6" s="51"/>
      <c r="V6" s="51"/>
      <c r="W6" s="51"/>
    </row>
    <row r="7" spans="1:23" ht="45.65" customHeight="1" x14ac:dyDescent="0.55000000000000004">
      <c r="A7" s="105">
        <v>2</v>
      </c>
      <c r="B7" s="106">
        <v>1002</v>
      </c>
      <c r="C7" s="107" t="s">
        <v>30</v>
      </c>
      <c r="D7" s="108"/>
      <c r="E7" s="107"/>
      <c r="F7" s="109">
        <v>100</v>
      </c>
      <c r="G7" s="110">
        <v>26</v>
      </c>
      <c r="H7" s="110">
        <v>0</v>
      </c>
      <c r="I7" s="111">
        <f t="shared" si="0"/>
        <v>100</v>
      </c>
      <c r="J7" s="111">
        <v>0</v>
      </c>
      <c r="K7" s="111">
        <v>0</v>
      </c>
      <c r="L7" s="111">
        <v>0</v>
      </c>
      <c r="M7" s="111">
        <v>0</v>
      </c>
      <c r="N7" s="111">
        <f t="shared" ref="N7:N65" si="1">I7+J7+K7+L7+M7</f>
        <v>100</v>
      </c>
      <c r="O7" s="111">
        <v>0</v>
      </c>
      <c r="P7" s="111">
        <v>0</v>
      </c>
      <c r="Q7" s="111">
        <v>0</v>
      </c>
      <c r="R7" s="111">
        <v>0</v>
      </c>
      <c r="S7" s="112">
        <f>N7-O7-P7-Q7-R7</f>
        <v>100</v>
      </c>
      <c r="T7" s="51"/>
      <c r="V7" s="51"/>
      <c r="W7" s="51"/>
    </row>
    <row r="8" spans="1:23" ht="45.65" customHeight="1" x14ac:dyDescent="0.55000000000000004">
      <c r="A8" s="105">
        <v>3</v>
      </c>
      <c r="B8" s="113">
        <v>1003</v>
      </c>
      <c r="C8" s="114" t="s">
        <v>31</v>
      </c>
      <c r="D8" s="108"/>
      <c r="E8" s="114"/>
      <c r="F8" s="115">
        <v>170</v>
      </c>
      <c r="G8" s="110">
        <v>26</v>
      </c>
      <c r="H8" s="110">
        <v>0</v>
      </c>
      <c r="I8" s="111">
        <f t="shared" si="0"/>
        <v>170</v>
      </c>
      <c r="J8" s="111">
        <v>0</v>
      </c>
      <c r="K8" s="111">
        <v>0</v>
      </c>
      <c r="L8" s="111">
        <v>0</v>
      </c>
      <c r="M8" s="111">
        <v>0</v>
      </c>
      <c r="N8" s="111">
        <f t="shared" si="1"/>
        <v>170</v>
      </c>
      <c r="O8" s="111">
        <v>0</v>
      </c>
      <c r="P8" s="111">
        <v>0</v>
      </c>
      <c r="Q8" s="111">
        <v>0</v>
      </c>
      <c r="R8" s="111">
        <v>0</v>
      </c>
      <c r="S8" s="112">
        <f t="shared" ref="S8:S65" si="2">N8-O8-P8-Q8-R8</f>
        <v>170</v>
      </c>
      <c r="T8" s="52"/>
      <c r="V8" s="52"/>
      <c r="W8" s="52"/>
    </row>
    <row r="9" spans="1:23" ht="45.65" customHeight="1" x14ac:dyDescent="0.55000000000000004">
      <c r="A9" s="105">
        <v>4</v>
      </c>
      <c r="B9" s="106">
        <v>1004</v>
      </c>
      <c r="C9" s="107" t="s">
        <v>32</v>
      </c>
      <c r="D9" s="108"/>
      <c r="E9" s="107"/>
      <c r="F9" s="109">
        <v>500</v>
      </c>
      <c r="G9" s="110">
        <v>26</v>
      </c>
      <c r="H9" s="110">
        <v>0</v>
      </c>
      <c r="I9" s="111">
        <f t="shared" si="0"/>
        <v>500</v>
      </c>
      <c r="J9" s="111">
        <v>0</v>
      </c>
      <c r="K9" s="111">
        <v>0</v>
      </c>
      <c r="L9" s="111">
        <v>0</v>
      </c>
      <c r="M9" s="111">
        <v>0</v>
      </c>
      <c r="N9" s="111">
        <f t="shared" si="1"/>
        <v>500</v>
      </c>
      <c r="O9" s="111">
        <v>0</v>
      </c>
      <c r="P9" s="111">
        <v>0</v>
      </c>
      <c r="Q9" s="111">
        <v>0</v>
      </c>
      <c r="R9" s="111">
        <v>0</v>
      </c>
      <c r="S9" s="112">
        <f t="shared" si="2"/>
        <v>500</v>
      </c>
      <c r="T9" s="53"/>
      <c r="V9" s="53"/>
      <c r="W9" s="53"/>
    </row>
    <row r="10" spans="1:23" ht="45.65" customHeight="1" x14ac:dyDescent="0.55000000000000004">
      <c r="A10" s="105">
        <v>5</v>
      </c>
      <c r="B10" s="113">
        <v>1005</v>
      </c>
      <c r="C10" s="107" t="s">
        <v>33</v>
      </c>
      <c r="D10" s="108"/>
      <c r="E10" s="107"/>
      <c r="F10" s="109">
        <v>200</v>
      </c>
      <c r="G10" s="110">
        <v>26</v>
      </c>
      <c r="H10" s="110">
        <v>0</v>
      </c>
      <c r="I10" s="111">
        <f t="shared" si="0"/>
        <v>200</v>
      </c>
      <c r="J10" s="111">
        <v>0</v>
      </c>
      <c r="K10" s="111">
        <v>0</v>
      </c>
      <c r="L10" s="111">
        <v>0</v>
      </c>
      <c r="M10" s="111">
        <v>0</v>
      </c>
      <c r="N10" s="111">
        <f t="shared" si="1"/>
        <v>200</v>
      </c>
      <c r="O10" s="111">
        <v>0</v>
      </c>
      <c r="P10" s="111">
        <v>0</v>
      </c>
      <c r="Q10" s="111">
        <v>0</v>
      </c>
      <c r="R10" s="111">
        <v>0</v>
      </c>
      <c r="S10" s="112">
        <f t="shared" si="2"/>
        <v>200</v>
      </c>
      <c r="T10" s="53"/>
      <c r="V10" s="53"/>
      <c r="W10" s="53"/>
    </row>
    <row r="11" spans="1:23" ht="45.65" customHeight="1" x14ac:dyDescent="0.55000000000000004">
      <c r="A11" s="105">
        <v>6</v>
      </c>
      <c r="B11" s="106">
        <v>1006</v>
      </c>
      <c r="C11" s="107" t="s">
        <v>34</v>
      </c>
      <c r="D11" s="108"/>
      <c r="E11" s="107"/>
      <c r="F11" s="109">
        <v>75</v>
      </c>
      <c r="G11" s="110">
        <v>26</v>
      </c>
      <c r="H11" s="110">
        <v>0</v>
      </c>
      <c r="I11" s="111">
        <f t="shared" si="0"/>
        <v>75</v>
      </c>
      <c r="J11" s="111">
        <v>0</v>
      </c>
      <c r="K11" s="111">
        <v>0</v>
      </c>
      <c r="L11" s="111">
        <v>0</v>
      </c>
      <c r="M11" s="111">
        <v>0</v>
      </c>
      <c r="N11" s="111">
        <f t="shared" si="1"/>
        <v>75</v>
      </c>
      <c r="O11" s="111">
        <v>0</v>
      </c>
      <c r="P11" s="111">
        <v>0</v>
      </c>
      <c r="Q11" s="111">
        <v>0</v>
      </c>
      <c r="R11" s="111">
        <v>0</v>
      </c>
      <c r="S11" s="112">
        <f t="shared" si="2"/>
        <v>75</v>
      </c>
      <c r="T11" s="53"/>
      <c r="V11" s="53"/>
      <c r="W11" s="53"/>
    </row>
    <row r="12" spans="1:23" ht="45.65" customHeight="1" x14ac:dyDescent="0.55000000000000004">
      <c r="A12" s="105">
        <v>7</v>
      </c>
      <c r="B12" s="113">
        <v>1007</v>
      </c>
      <c r="C12" s="107" t="s">
        <v>35</v>
      </c>
      <c r="D12" s="108"/>
      <c r="E12" s="107"/>
      <c r="F12" s="109">
        <v>350</v>
      </c>
      <c r="G12" s="110">
        <v>26</v>
      </c>
      <c r="H12" s="110">
        <v>0</v>
      </c>
      <c r="I12" s="111">
        <f t="shared" si="0"/>
        <v>350</v>
      </c>
      <c r="J12" s="111">
        <v>0</v>
      </c>
      <c r="K12" s="111">
        <v>0</v>
      </c>
      <c r="L12" s="111">
        <v>0</v>
      </c>
      <c r="M12" s="111">
        <v>0</v>
      </c>
      <c r="N12" s="111">
        <f t="shared" si="1"/>
        <v>350</v>
      </c>
      <c r="O12" s="111">
        <v>0</v>
      </c>
      <c r="P12" s="111">
        <v>0</v>
      </c>
      <c r="Q12" s="111">
        <v>0</v>
      </c>
      <c r="R12" s="111">
        <v>0</v>
      </c>
      <c r="S12" s="112">
        <f t="shared" si="2"/>
        <v>350</v>
      </c>
      <c r="T12" s="53"/>
      <c r="V12" s="53"/>
      <c r="W12" s="53"/>
    </row>
    <row r="13" spans="1:23" ht="45.65" customHeight="1" x14ac:dyDescent="0.55000000000000004">
      <c r="A13" s="105">
        <v>8</v>
      </c>
      <c r="B13" s="106">
        <v>1008</v>
      </c>
      <c r="C13" s="107" t="s">
        <v>36</v>
      </c>
      <c r="D13" s="108"/>
      <c r="E13" s="107"/>
      <c r="F13" s="109">
        <v>456.9</v>
      </c>
      <c r="G13" s="110">
        <v>26</v>
      </c>
      <c r="H13" s="110">
        <v>0</v>
      </c>
      <c r="I13" s="111">
        <f t="shared" si="0"/>
        <v>456.9</v>
      </c>
      <c r="J13" s="111">
        <v>0</v>
      </c>
      <c r="K13" s="111">
        <v>0</v>
      </c>
      <c r="L13" s="111">
        <v>0</v>
      </c>
      <c r="M13" s="111">
        <v>0</v>
      </c>
      <c r="N13" s="111">
        <f t="shared" si="1"/>
        <v>456.9</v>
      </c>
      <c r="O13" s="111">
        <v>0</v>
      </c>
      <c r="P13" s="111">
        <v>0</v>
      </c>
      <c r="Q13" s="111">
        <v>0</v>
      </c>
      <c r="R13" s="111">
        <v>0</v>
      </c>
      <c r="S13" s="112">
        <f t="shared" si="2"/>
        <v>456.9</v>
      </c>
      <c r="T13" s="53"/>
      <c r="V13" s="53"/>
      <c r="W13" s="53"/>
    </row>
    <row r="14" spans="1:23" ht="45.65" customHeight="1" x14ac:dyDescent="0.55000000000000004">
      <c r="A14" s="105">
        <v>9</v>
      </c>
      <c r="B14" s="113">
        <v>1009</v>
      </c>
      <c r="C14" s="107" t="s">
        <v>37</v>
      </c>
      <c r="D14" s="108"/>
      <c r="E14" s="107"/>
      <c r="F14" s="109">
        <v>560</v>
      </c>
      <c r="G14" s="110">
        <v>26</v>
      </c>
      <c r="H14" s="110">
        <v>0</v>
      </c>
      <c r="I14" s="111">
        <f t="shared" si="0"/>
        <v>560</v>
      </c>
      <c r="J14" s="111">
        <v>0</v>
      </c>
      <c r="K14" s="111">
        <v>0</v>
      </c>
      <c r="L14" s="111">
        <v>0</v>
      </c>
      <c r="M14" s="111">
        <v>0</v>
      </c>
      <c r="N14" s="111">
        <f t="shared" si="1"/>
        <v>560</v>
      </c>
      <c r="O14" s="111">
        <v>0</v>
      </c>
      <c r="P14" s="111">
        <v>0</v>
      </c>
      <c r="Q14" s="111">
        <v>0</v>
      </c>
      <c r="R14" s="111">
        <v>0</v>
      </c>
      <c r="S14" s="112">
        <f t="shared" si="2"/>
        <v>560</v>
      </c>
      <c r="T14" s="53"/>
      <c r="V14" s="53"/>
      <c r="W14" s="53"/>
    </row>
    <row r="15" spans="1:23" ht="45.65" customHeight="1" x14ac:dyDescent="0.55000000000000004">
      <c r="A15" s="105">
        <v>10</v>
      </c>
      <c r="B15" s="106">
        <v>1010</v>
      </c>
      <c r="C15" s="107" t="s">
        <v>38</v>
      </c>
      <c r="D15" s="108"/>
      <c r="E15" s="107"/>
      <c r="F15" s="109">
        <v>300</v>
      </c>
      <c r="G15" s="110">
        <v>26</v>
      </c>
      <c r="H15" s="110">
        <v>0</v>
      </c>
      <c r="I15" s="111">
        <f t="shared" si="0"/>
        <v>300</v>
      </c>
      <c r="J15" s="111">
        <v>0</v>
      </c>
      <c r="K15" s="111">
        <v>0</v>
      </c>
      <c r="L15" s="111">
        <v>0</v>
      </c>
      <c r="M15" s="111">
        <v>0</v>
      </c>
      <c r="N15" s="111">
        <f t="shared" si="1"/>
        <v>300</v>
      </c>
      <c r="O15" s="111">
        <v>0</v>
      </c>
      <c r="P15" s="111">
        <v>0</v>
      </c>
      <c r="Q15" s="111">
        <v>0</v>
      </c>
      <c r="R15" s="111">
        <v>0</v>
      </c>
      <c r="S15" s="112">
        <f t="shared" si="2"/>
        <v>300</v>
      </c>
      <c r="T15" s="53"/>
      <c r="V15" s="53"/>
      <c r="W15" s="53"/>
    </row>
    <row r="16" spans="1:23" ht="45.65" customHeight="1" x14ac:dyDescent="0.55000000000000004">
      <c r="A16" s="105">
        <v>11</v>
      </c>
      <c r="B16" s="113">
        <v>1011</v>
      </c>
      <c r="C16" s="107" t="s">
        <v>39</v>
      </c>
      <c r="D16" s="108"/>
      <c r="E16" s="107"/>
      <c r="F16" s="109">
        <v>250</v>
      </c>
      <c r="G16" s="110">
        <v>26</v>
      </c>
      <c r="H16" s="110">
        <v>0</v>
      </c>
      <c r="I16" s="111">
        <f t="shared" si="0"/>
        <v>250</v>
      </c>
      <c r="J16" s="111">
        <v>0</v>
      </c>
      <c r="K16" s="111">
        <v>0</v>
      </c>
      <c r="L16" s="111">
        <v>0</v>
      </c>
      <c r="M16" s="111">
        <v>0</v>
      </c>
      <c r="N16" s="111">
        <f t="shared" si="1"/>
        <v>250</v>
      </c>
      <c r="O16" s="111">
        <v>0</v>
      </c>
      <c r="P16" s="111">
        <v>0</v>
      </c>
      <c r="Q16" s="111">
        <v>0</v>
      </c>
      <c r="R16" s="111">
        <v>0</v>
      </c>
      <c r="S16" s="112">
        <f t="shared" si="2"/>
        <v>250</v>
      </c>
      <c r="T16" s="53"/>
      <c r="V16" s="53"/>
      <c r="W16" s="53"/>
    </row>
    <row r="17" spans="1:23" ht="45.65" customHeight="1" x14ac:dyDescent="0.55000000000000004">
      <c r="A17" s="105">
        <v>12</v>
      </c>
      <c r="B17" s="106">
        <v>1012</v>
      </c>
      <c r="C17" s="107" t="s">
        <v>40</v>
      </c>
      <c r="D17" s="108"/>
      <c r="E17" s="107"/>
      <c r="F17" s="109">
        <v>250</v>
      </c>
      <c r="G17" s="110">
        <v>26</v>
      </c>
      <c r="H17" s="110">
        <v>0</v>
      </c>
      <c r="I17" s="111">
        <f t="shared" si="0"/>
        <v>250</v>
      </c>
      <c r="J17" s="111">
        <v>0</v>
      </c>
      <c r="K17" s="111">
        <v>0</v>
      </c>
      <c r="L17" s="111">
        <v>0</v>
      </c>
      <c r="M17" s="111">
        <v>0</v>
      </c>
      <c r="N17" s="111">
        <f t="shared" si="1"/>
        <v>250</v>
      </c>
      <c r="O17" s="111">
        <v>0</v>
      </c>
      <c r="P17" s="111">
        <v>0</v>
      </c>
      <c r="Q17" s="111">
        <v>0</v>
      </c>
      <c r="R17" s="111">
        <v>0</v>
      </c>
      <c r="S17" s="112">
        <f t="shared" si="2"/>
        <v>250</v>
      </c>
      <c r="T17" s="53"/>
      <c r="V17" s="53"/>
      <c r="W17" s="53"/>
    </row>
    <row r="18" spans="1:23" ht="45.65" customHeight="1" x14ac:dyDescent="0.55000000000000004">
      <c r="A18" s="105">
        <v>13</v>
      </c>
      <c r="B18" s="113">
        <v>1013</v>
      </c>
      <c r="C18" s="107" t="s">
        <v>41</v>
      </c>
      <c r="D18" s="108"/>
      <c r="E18" s="107"/>
      <c r="F18" s="109">
        <v>250</v>
      </c>
      <c r="G18" s="110">
        <v>26</v>
      </c>
      <c r="H18" s="110">
        <v>0</v>
      </c>
      <c r="I18" s="111">
        <f t="shared" si="0"/>
        <v>250</v>
      </c>
      <c r="J18" s="111">
        <v>0</v>
      </c>
      <c r="K18" s="111">
        <v>0</v>
      </c>
      <c r="L18" s="111">
        <v>0</v>
      </c>
      <c r="M18" s="111">
        <v>0</v>
      </c>
      <c r="N18" s="111">
        <f t="shared" si="1"/>
        <v>250</v>
      </c>
      <c r="O18" s="111">
        <v>0</v>
      </c>
      <c r="P18" s="111">
        <v>0</v>
      </c>
      <c r="Q18" s="111">
        <v>0</v>
      </c>
      <c r="R18" s="111">
        <v>0</v>
      </c>
      <c r="S18" s="112">
        <f t="shared" si="2"/>
        <v>250</v>
      </c>
      <c r="T18" s="53"/>
      <c r="V18" s="53"/>
      <c r="W18" s="53"/>
    </row>
    <row r="19" spans="1:23" ht="45.65" customHeight="1" x14ac:dyDescent="0.55000000000000004">
      <c r="A19" s="105">
        <v>14</v>
      </c>
      <c r="B19" s="106">
        <v>1014</v>
      </c>
      <c r="C19" s="107" t="s">
        <v>42</v>
      </c>
      <c r="D19" s="108"/>
      <c r="E19" s="107"/>
      <c r="F19" s="109">
        <v>370</v>
      </c>
      <c r="G19" s="110">
        <v>26</v>
      </c>
      <c r="H19" s="110">
        <v>0</v>
      </c>
      <c r="I19" s="111">
        <f t="shared" si="0"/>
        <v>370</v>
      </c>
      <c r="J19" s="111">
        <v>0</v>
      </c>
      <c r="K19" s="111">
        <v>0</v>
      </c>
      <c r="L19" s="111">
        <v>0</v>
      </c>
      <c r="M19" s="111">
        <v>0</v>
      </c>
      <c r="N19" s="111">
        <f t="shared" si="1"/>
        <v>370</v>
      </c>
      <c r="O19" s="111">
        <v>0</v>
      </c>
      <c r="P19" s="111">
        <v>0</v>
      </c>
      <c r="Q19" s="111">
        <v>0</v>
      </c>
      <c r="R19" s="111">
        <v>0</v>
      </c>
      <c r="S19" s="112">
        <f t="shared" si="2"/>
        <v>370</v>
      </c>
      <c r="T19" s="53"/>
      <c r="V19" s="53"/>
      <c r="W19" s="53"/>
    </row>
    <row r="20" spans="1:23" ht="45.65" customHeight="1" x14ac:dyDescent="0.55000000000000004">
      <c r="A20" s="105">
        <v>15</v>
      </c>
      <c r="B20" s="113">
        <v>1015</v>
      </c>
      <c r="C20" s="107" t="s">
        <v>43</v>
      </c>
      <c r="D20" s="108"/>
      <c r="E20" s="107"/>
      <c r="F20" s="109">
        <v>600</v>
      </c>
      <c r="G20" s="110">
        <v>26</v>
      </c>
      <c r="H20" s="110">
        <v>0</v>
      </c>
      <c r="I20" s="111">
        <f t="shared" si="0"/>
        <v>600</v>
      </c>
      <c r="J20" s="111">
        <v>0</v>
      </c>
      <c r="K20" s="111">
        <v>0</v>
      </c>
      <c r="L20" s="111">
        <v>0</v>
      </c>
      <c r="M20" s="111">
        <v>0</v>
      </c>
      <c r="N20" s="111">
        <f t="shared" si="1"/>
        <v>600</v>
      </c>
      <c r="O20" s="111">
        <v>0</v>
      </c>
      <c r="P20" s="111">
        <v>0</v>
      </c>
      <c r="Q20" s="111">
        <v>0</v>
      </c>
      <c r="R20" s="111">
        <v>0</v>
      </c>
      <c r="S20" s="112">
        <f t="shared" si="2"/>
        <v>600</v>
      </c>
      <c r="T20" s="53"/>
      <c r="V20" s="119">
        <v>430</v>
      </c>
      <c r="W20" s="118">
        <f>S20-V20</f>
        <v>170</v>
      </c>
    </row>
    <row r="21" spans="1:23" ht="45.65" customHeight="1" x14ac:dyDescent="0.55000000000000004">
      <c r="A21" s="105">
        <v>16</v>
      </c>
      <c r="B21" s="106">
        <v>1016</v>
      </c>
      <c r="C21" s="107" t="s">
        <v>44</v>
      </c>
      <c r="D21" s="108"/>
      <c r="E21" s="107"/>
      <c r="F21" s="109">
        <v>150</v>
      </c>
      <c r="G21" s="110">
        <v>26</v>
      </c>
      <c r="H21" s="110">
        <v>0</v>
      </c>
      <c r="I21" s="111">
        <f t="shared" si="0"/>
        <v>150</v>
      </c>
      <c r="J21" s="111">
        <v>0</v>
      </c>
      <c r="K21" s="111">
        <v>0</v>
      </c>
      <c r="L21" s="111">
        <v>0</v>
      </c>
      <c r="M21" s="111">
        <v>0</v>
      </c>
      <c r="N21" s="111">
        <f t="shared" si="1"/>
        <v>150</v>
      </c>
      <c r="O21" s="111">
        <v>0</v>
      </c>
      <c r="P21" s="111">
        <v>0</v>
      </c>
      <c r="Q21" s="111">
        <v>0</v>
      </c>
      <c r="R21" s="111">
        <v>0</v>
      </c>
      <c r="S21" s="112">
        <f t="shared" si="2"/>
        <v>150</v>
      </c>
      <c r="T21" s="53"/>
      <c r="V21" s="53"/>
      <c r="W21" s="53"/>
    </row>
    <row r="22" spans="1:23" ht="45.65" customHeight="1" x14ac:dyDescent="0.55000000000000004">
      <c r="A22" s="105">
        <v>17</v>
      </c>
      <c r="B22" s="113">
        <v>1017</v>
      </c>
      <c r="C22" s="107" t="s">
        <v>45</v>
      </c>
      <c r="D22" s="108"/>
      <c r="E22" s="107"/>
      <c r="F22" s="109">
        <v>170</v>
      </c>
      <c r="G22" s="110">
        <v>26</v>
      </c>
      <c r="H22" s="110">
        <v>0</v>
      </c>
      <c r="I22" s="111">
        <f t="shared" si="0"/>
        <v>170</v>
      </c>
      <c r="J22" s="111">
        <v>0</v>
      </c>
      <c r="K22" s="111">
        <v>0</v>
      </c>
      <c r="L22" s="111">
        <v>0</v>
      </c>
      <c r="M22" s="111">
        <v>0</v>
      </c>
      <c r="N22" s="111">
        <f t="shared" si="1"/>
        <v>170</v>
      </c>
      <c r="O22" s="111">
        <v>0</v>
      </c>
      <c r="P22" s="111">
        <v>0</v>
      </c>
      <c r="Q22" s="111">
        <v>0</v>
      </c>
      <c r="R22" s="111">
        <v>0</v>
      </c>
      <c r="S22" s="112">
        <f t="shared" si="2"/>
        <v>170</v>
      </c>
      <c r="T22" s="53"/>
      <c r="V22" s="53"/>
      <c r="W22" s="53"/>
    </row>
    <row r="23" spans="1:23" ht="45.65" customHeight="1" x14ac:dyDescent="0.55000000000000004">
      <c r="A23" s="105">
        <v>18</v>
      </c>
      <c r="B23" s="106">
        <v>1018</v>
      </c>
      <c r="C23" s="107" t="s">
        <v>46</v>
      </c>
      <c r="D23" s="108"/>
      <c r="E23" s="107"/>
      <c r="F23" s="109">
        <v>250</v>
      </c>
      <c r="G23" s="110">
        <v>26</v>
      </c>
      <c r="H23" s="110">
        <v>0</v>
      </c>
      <c r="I23" s="111">
        <f t="shared" si="0"/>
        <v>250</v>
      </c>
      <c r="J23" s="111">
        <v>0</v>
      </c>
      <c r="K23" s="111">
        <v>0</v>
      </c>
      <c r="L23" s="111">
        <v>0</v>
      </c>
      <c r="M23" s="111">
        <v>0</v>
      </c>
      <c r="N23" s="111">
        <f t="shared" si="1"/>
        <v>250</v>
      </c>
      <c r="O23" s="111">
        <v>0</v>
      </c>
      <c r="P23" s="111">
        <v>0</v>
      </c>
      <c r="Q23" s="111">
        <v>0</v>
      </c>
      <c r="R23" s="111">
        <v>0</v>
      </c>
      <c r="S23" s="112">
        <f t="shared" si="2"/>
        <v>250</v>
      </c>
      <c r="T23" s="53"/>
      <c r="V23" s="53"/>
      <c r="W23" s="53"/>
    </row>
    <row r="24" spans="1:23" ht="45.65" customHeight="1" x14ac:dyDescent="0.55000000000000004">
      <c r="A24" s="105">
        <v>19</v>
      </c>
      <c r="B24" s="113">
        <v>1019</v>
      </c>
      <c r="C24" s="107" t="s">
        <v>47</v>
      </c>
      <c r="D24" s="108"/>
      <c r="E24" s="107"/>
      <c r="F24" s="109">
        <v>250</v>
      </c>
      <c r="G24" s="110">
        <v>26</v>
      </c>
      <c r="H24" s="110">
        <v>0</v>
      </c>
      <c r="I24" s="111">
        <f t="shared" si="0"/>
        <v>250</v>
      </c>
      <c r="J24" s="111">
        <v>0</v>
      </c>
      <c r="K24" s="111">
        <v>0</v>
      </c>
      <c r="L24" s="111">
        <v>0</v>
      </c>
      <c r="M24" s="111">
        <v>0</v>
      </c>
      <c r="N24" s="111">
        <f t="shared" si="1"/>
        <v>250</v>
      </c>
      <c r="O24" s="111">
        <v>0</v>
      </c>
      <c r="P24" s="111">
        <v>0</v>
      </c>
      <c r="Q24" s="111">
        <v>0</v>
      </c>
      <c r="R24" s="111">
        <v>0</v>
      </c>
      <c r="S24" s="112">
        <f t="shared" si="2"/>
        <v>250</v>
      </c>
      <c r="T24" s="53"/>
      <c r="V24" s="53"/>
      <c r="W24" s="53"/>
    </row>
    <row r="25" spans="1:23" ht="45.65" customHeight="1" x14ac:dyDescent="0.55000000000000004">
      <c r="A25" s="105">
        <v>20</v>
      </c>
      <c r="B25" s="106">
        <v>1020</v>
      </c>
      <c r="C25" s="107" t="s">
        <v>48</v>
      </c>
      <c r="D25" s="108"/>
      <c r="E25" s="107"/>
      <c r="F25" s="109">
        <v>450</v>
      </c>
      <c r="G25" s="110">
        <v>26</v>
      </c>
      <c r="H25" s="110">
        <v>0</v>
      </c>
      <c r="I25" s="111">
        <f t="shared" si="0"/>
        <v>450</v>
      </c>
      <c r="J25" s="111">
        <v>0</v>
      </c>
      <c r="K25" s="111">
        <v>0</v>
      </c>
      <c r="L25" s="111">
        <v>0</v>
      </c>
      <c r="M25" s="111">
        <v>0</v>
      </c>
      <c r="N25" s="111">
        <f t="shared" si="1"/>
        <v>450</v>
      </c>
      <c r="O25" s="111">
        <v>0</v>
      </c>
      <c r="P25" s="111">
        <v>0</v>
      </c>
      <c r="Q25" s="111">
        <v>0</v>
      </c>
      <c r="R25" s="111">
        <v>0</v>
      </c>
      <c r="S25" s="112">
        <f t="shared" si="2"/>
        <v>450</v>
      </c>
      <c r="T25" s="53"/>
      <c r="V25" s="53"/>
      <c r="W25" s="53"/>
    </row>
    <row r="26" spans="1:23" ht="45.65" customHeight="1" x14ac:dyDescent="0.55000000000000004">
      <c r="A26" s="105">
        <v>21</v>
      </c>
      <c r="B26" s="113">
        <v>1021</v>
      </c>
      <c r="C26" s="107" t="s">
        <v>49</v>
      </c>
      <c r="D26" s="108"/>
      <c r="E26" s="107"/>
      <c r="F26" s="109">
        <v>150</v>
      </c>
      <c r="G26" s="110">
        <v>26</v>
      </c>
      <c r="H26" s="110">
        <v>0</v>
      </c>
      <c r="I26" s="111">
        <f t="shared" si="0"/>
        <v>150</v>
      </c>
      <c r="J26" s="111">
        <v>0</v>
      </c>
      <c r="K26" s="111">
        <v>0</v>
      </c>
      <c r="L26" s="111">
        <v>0</v>
      </c>
      <c r="M26" s="111">
        <v>0</v>
      </c>
      <c r="N26" s="111">
        <f t="shared" si="1"/>
        <v>150</v>
      </c>
      <c r="O26" s="111">
        <v>0</v>
      </c>
      <c r="P26" s="111">
        <v>0</v>
      </c>
      <c r="Q26" s="111">
        <v>0</v>
      </c>
      <c r="R26" s="111">
        <v>0</v>
      </c>
      <c r="S26" s="112">
        <f t="shared" si="2"/>
        <v>150</v>
      </c>
      <c r="T26" s="53"/>
      <c r="V26" s="53"/>
      <c r="W26" s="53"/>
    </row>
    <row r="27" spans="1:23" ht="45.65" customHeight="1" x14ac:dyDescent="0.55000000000000004">
      <c r="A27" s="105">
        <v>22</v>
      </c>
      <c r="B27" s="106">
        <v>1022</v>
      </c>
      <c r="C27" s="107" t="s">
        <v>50</v>
      </c>
      <c r="D27" s="108"/>
      <c r="E27" s="107"/>
      <c r="F27" s="109">
        <v>150</v>
      </c>
      <c r="G27" s="110">
        <v>26</v>
      </c>
      <c r="H27" s="110">
        <v>0</v>
      </c>
      <c r="I27" s="111">
        <f t="shared" si="0"/>
        <v>150</v>
      </c>
      <c r="J27" s="111">
        <v>0</v>
      </c>
      <c r="K27" s="111">
        <v>0</v>
      </c>
      <c r="L27" s="111">
        <v>0</v>
      </c>
      <c r="M27" s="111">
        <v>0</v>
      </c>
      <c r="N27" s="111">
        <f t="shared" si="1"/>
        <v>150</v>
      </c>
      <c r="O27" s="111">
        <v>0</v>
      </c>
      <c r="P27" s="111">
        <v>0</v>
      </c>
      <c r="Q27" s="111">
        <v>0</v>
      </c>
      <c r="R27" s="111">
        <v>0</v>
      </c>
      <c r="S27" s="112">
        <f t="shared" si="2"/>
        <v>150</v>
      </c>
      <c r="T27" s="53"/>
      <c r="V27" s="53"/>
      <c r="W27" s="53"/>
    </row>
    <row r="28" spans="1:23" ht="45.65" customHeight="1" x14ac:dyDescent="0.55000000000000004">
      <c r="A28" s="105">
        <v>23</v>
      </c>
      <c r="B28" s="113">
        <v>1023</v>
      </c>
      <c r="C28" s="107" t="s">
        <v>51</v>
      </c>
      <c r="D28" s="108"/>
      <c r="E28" s="107"/>
      <c r="F28" s="109">
        <v>150</v>
      </c>
      <c r="G28" s="110">
        <v>26</v>
      </c>
      <c r="H28" s="110">
        <v>0</v>
      </c>
      <c r="I28" s="111">
        <f t="shared" si="0"/>
        <v>150</v>
      </c>
      <c r="J28" s="111">
        <v>0</v>
      </c>
      <c r="K28" s="111">
        <v>0</v>
      </c>
      <c r="L28" s="111">
        <v>0</v>
      </c>
      <c r="M28" s="111">
        <v>0</v>
      </c>
      <c r="N28" s="111">
        <f t="shared" si="1"/>
        <v>150</v>
      </c>
      <c r="O28" s="111">
        <v>0</v>
      </c>
      <c r="P28" s="111">
        <v>0</v>
      </c>
      <c r="Q28" s="111">
        <v>0</v>
      </c>
      <c r="R28" s="111">
        <v>0</v>
      </c>
      <c r="S28" s="112">
        <f t="shared" si="2"/>
        <v>150</v>
      </c>
      <c r="T28" s="53"/>
      <c r="V28" s="53"/>
      <c r="W28" s="53"/>
    </row>
    <row r="29" spans="1:23" ht="45.65" customHeight="1" x14ac:dyDescent="0.55000000000000004">
      <c r="A29" s="105">
        <v>24</v>
      </c>
      <c r="B29" s="106">
        <v>1024</v>
      </c>
      <c r="C29" s="107" t="s">
        <v>52</v>
      </c>
      <c r="D29" s="108"/>
      <c r="E29" s="107"/>
      <c r="F29" s="109">
        <v>150</v>
      </c>
      <c r="G29" s="110">
        <v>26</v>
      </c>
      <c r="H29" s="110">
        <v>0</v>
      </c>
      <c r="I29" s="111">
        <f t="shared" si="0"/>
        <v>150</v>
      </c>
      <c r="J29" s="111">
        <v>0</v>
      </c>
      <c r="K29" s="111">
        <v>0</v>
      </c>
      <c r="L29" s="111">
        <v>0</v>
      </c>
      <c r="M29" s="111">
        <v>0</v>
      </c>
      <c r="N29" s="111">
        <f t="shared" si="1"/>
        <v>150</v>
      </c>
      <c r="O29" s="111">
        <v>0</v>
      </c>
      <c r="P29" s="111">
        <v>0</v>
      </c>
      <c r="Q29" s="111">
        <v>0</v>
      </c>
      <c r="R29" s="111">
        <v>0</v>
      </c>
      <c r="S29" s="112">
        <f t="shared" si="2"/>
        <v>150</v>
      </c>
      <c r="T29" s="53"/>
      <c r="V29" s="53"/>
      <c r="W29" s="53"/>
    </row>
    <row r="30" spans="1:23" ht="45.65" customHeight="1" x14ac:dyDescent="0.55000000000000004">
      <c r="A30" s="105">
        <v>25</v>
      </c>
      <c r="B30" s="113">
        <v>1025</v>
      </c>
      <c r="C30" s="107" t="s">
        <v>53</v>
      </c>
      <c r="D30" s="108"/>
      <c r="E30" s="107"/>
      <c r="F30" s="109">
        <v>150</v>
      </c>
      <c r="G30" s="110">
        <v>26</v>
      </c>
      <c r="H30" s="110">
        <v>0</v>
      </c>
      <c r="I30" s="111">
        <f t="shared" si="0"/>
        <v>150</v>
      </c>
      <c r="J30" s="111">
        <v>0</v>
      </c>
      <c r="K30" s="111">
        <v>0</v>
      </c>
      <c r="L30" s="111">
        <v>0</v>
      </c>
      <c r="M30" s="111">
        <v>0</v>
      </c>
      <c r="N30" s="111">
        <f t="shared" si="1"/>
        <v>150</v>
      </c>
      <c r="O30" s="111">
        <v>0</v>
      </c>
      <c r="P30" s="111">
        <v>0</v>
      </c>
      <c r="Q30" s="111">
        <v>0</v>
      </c>
      <c r="R30" s="111">
        <v>0</v>
      </c>
      <c r="S30" s="112">
        <f t="shared" si="2"/>
        <v>150</v>
      </c>
      <c r="T30" s="53"/>
      <c r="V30" s="53"/>
      <c r="W30" s="53"/>
    </row>
    <row r="31" spans="1:23" ht="45.65" customHeight="1" x14ac:dyDescent="0.55000000000000004">
      <c r="A31" s="105">
        <v>26</v>
      </c>
      <c r="B31" s="106">
        <v>1026</v>
      </c>
      <c r="C31" s="107" t="s">
        <v>54</v>
      </c>
      <c r="D31" s="108"/>
      <c r="E31" s="107"/>
      <c r="F31" s="109">
        <v>420</v>
      </c>
      <c r="G31" s="110">
        <v>26</v>
      </c>
      <c r="H31" s="110">
        <v>0</v>
      </c>
      <c r="I31" s="111">
        <f t="shared" si="0"/>
        <v>420</v>
      </c>
      <c r="J31" s="111">
        <v>0</v>
      </c>
      <c r="K31" s="111">
        <v>0</v>
      </c>
      <c r="L31" s="111">
        <v>0</v>
      </c>
      <c r="M31" s="111">
        <v>0</v>
      </c>
      <c r="N31" s="111">
        <f t="shared" si="1"/>
        <v>420</v>
      </c>
      <c r="O31" s="111">
        <v>0</v>
      </c>
      <c r="P31" s="111">
        <v>0</v>
      </c>
      <c r="Q31" s="111">
        <v>0</v>
      </c>
      <c r="R31" s="111">
        <v>0</v>
      </c>
      <c r="S31" s="112">
        <f t="shared" si="2"/>
        <v>420</v>
      </c>
      <c r="T31" s="53"/>
      <c r="V31" s="53"/>
      <c r="W31" s="53"/>
    </row>
    <row r="32" spans="1:23" ht="45.65" customHeight="1" x14ac:dyDescent="0.55000000000000004">
      <c r="A32" s="105">
        <v>27</v>
      </c>
      <c r="B32" s="113">
        <v>1027</v>
      </c>
      <c r="C32" s="107" t="s">
        <v>55</v>
      </c>
      <c r="D32" s="108"/>
      <c r="E32" s="107"/>
      <c r="F32" s="109">
        <v>250</v>
      </c>
      <c r="G32" s="110">
        <v>26</v>
      </c>
      <c r="H32" s="110">
        <v>0</v>
      </c>
      <c r="I32" s="111">
        <f t="shared" si="0"/>
        <v>250</v>
      </c>
      <c r="J32" s="111">
        <v>0</v>
      </c>
      <c r="K32" s="111">
        <v>0</v>
      </c>
      <c r="L32" s="111">
        <v>0</v>
      </c>
      <c r="M32" s="111">
        <v>0</v>
      </c>
      <c r="N32" s="111">
        <f t="shared" si="1"/>
        <v>250</v>
      </c>
      <c r="O32" s="111">
        <v>0</v>
      </c>
      <c r="P32" s="111">
        <v>0</v>
      </c>
      <c r="Q32" s="111">
        <v>0</v>
      </c>
      <c r="R32" s="111">
        <v>0</v>
      </c>
      <c r="S32" s="112">
        <f t="shared" si="2"/>
        <v>250</v>
      </c>
      <c r="T32" s="53"/>
      <c r="V32" s="53"/>
      <c r="W32" s="53"/>
    </row>
    <row r="33" spans="1:23" ht="45.65" customHeight="1" x14ac:dyDescent="0.55000000000000004">
      <c r="A33" s="105">
        <v>28</v>
      </c>
      <c r="B33" s="106">
        <v>1028</v>
      </c>
      <c r="C33" s="107" t="s">
        <v>56</v>
      </c>
      <c r="D33" s="108"/>
      <c r="E33" s="107"/>
      <c r="F33" s="109">
        <v>600</v>
      </c>
      <c r="G33" s="110">
        <v>26</v>
      </c>
      <c r="H33" s="110">
        <v>0</v>
      </c>
      <c r="I33" s="111">
        <f t="shared" si="0"/>
        <v>600</v>
      </c>
      <c r="J33" s="111">
        <v>0</v>
      </c>
      <c r="K33" s="111">
        <v>0</v>
      </c>
      <c r="L33" s="111">
        <v>0</v>
      </c>
      <c r="M33" s="111">
        <v>0</v>
      </c>
      <c r="N33" s="111">
        <f t="shared" si="1"/>
        <v>600</v>
      </c>
      <c r="O33" s="111">
        <v>0</v>
      </c>
      <c r="P33" s="111">
        <v>0</v>
      </c>
      <c r="Q33" s="111">
        <v>0</v>
      </c>
      <c r="R33" s="111">
        <v>0</v>
      </c>
      <c r="S33" s="112">
        <f t="shared" si="2"/>
        <v>600</v>
      </c>
      <c r="T33" s="53"/>
      <c r="V33" s="53">
        <v>250</v>
      </c>
      <c r="W33" s="118">
        <f>S33-V33</f>
        <v>350</v>
      </c>
    </row>
    <row r="34" spans="1:23" ht="45.65" customHeight="1" x14ac:dyDescent="0.55000000000000004">
      <c r="A34" s="105">
        <v>29</v>
      </c>
      <c r="B34" s="113">
        <v>1029</v>
      </c>
      <c r="C34" s="107" t="s">
        <v>57</v>
      </c>
      <c r="D34" s="108"/>
      <c r="E34" s="107"/>
      <c r="F34" s="109">
        <v>350</v>
      </c>
      <c r="G34" s="110">
        <v>26</v>
      </c>
      <c r="H34" s="110">
        <v>0</v>
      </c>
      <c r="I34" s="111">
        <f t="shared" si="0"/>
        <v>350</v>
      </c>
      <c r="J34" s="111">
        <v>0</v>
      </c>
      <c r="K34" s="111">
        <v>0</v>
      </c>
      <c r="L34" s="111">
        <v>0</v>
      </c>
      <c r="M34" s="111">
        <v>0</v>
      </c>
      <c r="N34" s="111">
        <f t="shared" si="1"/>
        <v>350</v>
      </c>
      <c r="O34" s="111">
        <v>0</v>
      </c>
      <c r="P34" s="111">
        <v>0</v>
      </c>
      <c r="Q34" s="111">
        <v>0</v>
      </c>
      <c r="R34" s="111">
        <v>0</v>
      </c>
      <c r="S34" s="112">
        <f t="shared" si="2"/>
        <v>350</v>
      </c>
      <c r="T34" s="53"/>
      <c r="V34" s="53"/>
      <c r="W34" s="53"/>
    </row>
    <row r="35" spans="1:23" ht="45.65" customHeight="1" x14ac:dyDescent="0.55000000000000004">
      <c r="A35" s="105">
        <v>30</v>
      </c>
      <c r="B35" s="106">
        <v>1030</v>
      </c>
      <c r="C35" s="107" t="s">
        <v>58</v>
      </c>
      <c r="D35" s="108"/>
      <c r="E35" s="107"/>
      <c r="F35" s="109">
        <v>400</v>
      </c>
      <c r="G35" s="110">
        <v>26</v>
      </c>
      <c r="H35" s="110">
        <v>0</v>
      </c>
      <c r="I35" s="111">
        <f t="shared" si="0"/>
        <v>400</v>
      </c>
      <c r="J35" s="111">
        <v>0</v>
      </c>
      <c r="K35" s="111">
        <v>0</v>
      </c>
      <c r="L35" s="111">
        <v>0</v>
      </c>
      <c r="M35" s="111">
        <v>0</v>
      </c>
      <c r="N35" s="111">
        <f t="shared" si="1"/>
        <v>400</v>
      </c>
      <c r="O35" s="111">
        <v>0</v>
      </c>
      <c r="P35" s="111">
        <v>0</v>
      </c>
      <c r="Q35" s="111">
        <v>0</v>
      </c>
      <c r="R35" s="111">
        <v>0</v>
      </c>
      <c r="S35" s="112">
        <f t="shared" si="2"/>
        <v>400</v>
      </c>
      <c r="T35" s="53"/>
      <c r="V35" s="53"/>
      <c r="W35" s="53"/>
    </row>
    <row r="36" spans="1:23" ht="45.65" customHeight="1" x14ac:dyDescent="0.55000000000000004">
      <c r="A36" s="105">
        <v>31</v>
      </c>
      <c r="B36" s="113">
        <v>1031</v>
      </c>
      <c r="C36" s="107" t="s">
        <v>59</v>
      </c>
      <c r="D36" s="108"/>
      <c r="E36" s="107"/>
      <c r="F36" s="109">
        <v>250</v>
      </c>
      <c r="G36" s="110">
        <v>26</v>
      </c>
      <c r="H36" s="110">
        <v>0</v>
      </c>
      <c r="I36" s="111">
        <f t="shared" si="0"/>
        <v>250</v>
      </c>
      <c r="J36" s="111">
        <v>0</v>
      </c>
      <c r="K36" s="111">
        <v>0</v>
      </c>
      <c r="L36" s="111">
        <v>0</v>
      </c>
      <c r="M36" s="111">
        <v>0</v>
      </c>
      <c r="N36" s="111">
        <f t="shared" si="1"/>
        <v>250</v>
      </c>
      <c r="O36" s="111">
        <v>0</v>
      </c>
      <c r="P36" s="111">
        <v>0</v>
      </c>
      <c r="Q36" s="111">
        <v>0</v>
      </c>
      <c r="R36" s="111">
        <v>0</v>
      </c>
      <c r="S36" s="112">
        <f t="shared" si="2"/>
        <v>250</v>
      </c>
      <c r="T36" s="53"/>
      <c r="V36" s="53"/>
      <c r="W36" s="53"/>
    </row>
    <row r="37" spans="1:23" ht="45.65" customHeight="1" x14ac:dyDescent="0.55000000000000004">
      <c r="A37" s="105">
        <v>32</v>
      </c>
      <c r="B37" s="106">
        <v>1032</v>
      </c>
      <c r="C37" s="107" t="s">
        <v>60</v>
      </c>
      <c r="D37" s="108"/>
      <c r="E37" s="107"/>
      <c r="F37" s="109">
        <v>350</v>
      </c>
      <c r="G37" s="110">
        <v>26</v>
      </c>
      <c r="H37" s="110">
        <v>0</v>
      </c>
      <c r="I37" s="111">
        <f t="shared" si="0"/>
        <v>350</v>
      </c>
      <c r="J37" s="111">
        <v>0</v>
      </c>
      <c r="K37" s="111">
        <v>0</v>
      </c>
      <c r="L37" s="111">
        <v>0</v>
      </c>
      <c r="M37" s="111">
        <v>0</v>
      </c>
      <c r="N37" s="111">
        <f t="shared" si="1"/>
        <v>350</v>
      </c>
      <c r="O37" s="111">
        <v>0</v>
      </c>
      <c r="P37" s="111">
        <v>0</v>
      </c>
      <c r="Q37" s="111">
        <v>0</v>
      </c>
      <c r="R37" s="111">
        <v>0</v>
      </c>
      <c r="S37" s="112">
        <f t="shared" si="2"/>
        <v>350</v>
      </c>
      <c r="T37" s="53"/>
      <c r="V37" s="53"/>
      <c r="W37" s="53"/>
    </row>
    <row r="38" spans="1:23" ht="45.65" customHeight="1" x14ac:dyDescent="0.55000000000000004">
      <c r="A38" s="105">
        <v>33</v>
      </c>
      <c r="B38" s="113">
        <v>1033</v>
      </c>
      <c r="C38" s="107" t="s">
        <v>61</v>
      </c>
      <c r="D38" s="108"/>
      <c r="E38" s="107"/>
      <c r="F38" s="109">
        <v>600</v>
      </c>
      <c r="G38" s="110">
        <v>26</v>
      </c>
      <c r="H38" s="110">
        <v>0</v>
      </c>
      <c r="I38" s="111">
        <f t="shared" si="0"/>
        <v>600</v>
      </c>
      <c r="J38" s="111">
        <v>0</v>
      </c>
      <c r="K38" s="111">
        <v>0</v>
      </c>
      <c r="L38" s="111">
        <v>0</v>
      </c>
      <c r="M38" s="111">
        <v>0</v>
      </c>
      <c r="N38" s="111">
        <f t="shared" si="1"/>
        <v>600</v>
      </c>
      <c r="O38" s="111">
        <v>0</v>
      </c>
      <c r="P38" s="111">
        <v>0</v>
      </c>
      <c r="Q38" s="111">
        <v>0</v>
      </c>
      <c r="R38" s="111">
        <v>0</v>
      </c>
      <c r="S38" s="112">
        <f t="shared" si="2"/>
        <v>600</v>
      </c>
      <c r="T38" s="53"/>
      <c r="V38" s="53">
        <v>250</v>
      </c>
      <c r="W38" s="118">
        <f>S38-V38</f>
        <v>350</v>
      </c>
    </row>
    <row r="39" spans="1:23" ht="45.65" customHeight="1" x14ac:dyDescent="0.55000000000000004">
      <c r="A39" s="105">
        <v>34</v>
      </c>
      <c r="B39" s="106">
        <v>1034</v>
      </c>
      <c r="C39" s="107" t="s">
        <v>62</v>
      </c>
      <c r="D39" s="108"/>
      <c r="E39" s="107"/>
      <c r="F39" s="109">
        <v>250</v>
      </c>
      <c r="G39" s="110">
        <v>26</v>
      </c>
      <c r="H39" s="110">
        <v>0</v>
      </c>
      <c r="I39" s="111">
        <f t="shared" si="0"/>
        <v>250</v>
      </c>
      <c r="J39" s="111">
        <v>0</v>
      </c>
      <c r="K39" s="111">
        <v>0</v>
      </c>
      <c r="L39" s="111">
        <v>0</v>
      </c>
      <c r="M39" s="111">
        <v>0</v>
      </c>
      <c r="N39" s="111">
        <f t="shared" si="1"/>
        <v>250</v>
      </c>
      <c r="O39" s="111">
        <v>0</v>
      </c>
      <c r="P39" s="111">
        <v>0</v>
      </c>
      <c r="Q39" s="111">
        <v>0</v>
      </c>
      <c r="R39" s="111">
        <v>0</v>
      </c>
      <c r="S39" s="112">
        <f t="shared" si="2"/>
        <v>250</v>
      </c>
      <c r="T39" s="53"/>
      <c r="V39" s="53"/>
      <c r="W39" s="53"/>
    </row>
    <row r="40" spans="1:23" ht="45.65" customHeight="1" x14ac:dyDescent="0.55000000000000004">
      <c r="A40" s="105">
        <v>35</v>
      </c>
      <c r="B40" s="113">
        <v>1035</v>
      </c>
      <c r="C40" s="107" t="s">
        <v>63</v>
      </c>
      <c r="D40" s="108"/>
      <c r="E40" s="107"/>
      <c r="F40" s="109">
        <v>250</v>
      </c>
      <c r="G40" s="110">
        <v>26</v>
      </c>
      <c r="H40" s="110">
        <v>0</v>
      </c>
      <c r="I40" s="111">
        <f t="shared" si="0"/>
        <v>250</v>
      </c>
      <c r="J40" s="111">
        <v>0</v>
      </c>
      <c r="K40" s="111">
        <v>0</v>
      </c>
      <c r="L40" s="111">
        <v>0</v>
      </c>
      <c r="M40" s="111">
        <v>0</v>
      </c>
      <c r="N40" s="111">
        <f t="shared" si="1"/>
        <v>250</v>
      </c>
      <c r="O40" s="111">
        <v>0</v>
      </c>
      <c r="P40" s="111">
        <v>0</v>
      </c>
      <c r="Q40" s="111">
        <v>0</v>
      </c>
      <c r="R40" s="111">
        <v>0</v>
      </c>
      <c r="S40" s="112">
        <f t="shared" si="2"/>
        <v>250</v>
      </c>
      <c r="T40" s="53"/>
      <c r="V40" s="53"/>
      <c r="W40" s="53"/>
    </row>
    <row r="41" spans="1:23" ht="45.65" customHeight="1" x14ac:dyDescent="0.55000000000000004">
      <c r="A41" s="105">
        <v>36</v>
      </c>
      <c r="B41" s="106">
        <v>1036</v>
      </c>
      <c r="C41" s="107" t="s">
        <v>64</v>
      </c>
      <c r="D41" s="108"/>
      <c r="E41" s="107"/>
      <c r="F41" s="109">
        <v>120</v>
      </c>
      <c r="G41" s="110">
        <v>26</v>
      </c>
      <c r="H41" s="110">
        <v>0</v>
      </c>
      <c r="I41" s="111">
        <f t="shared" si="0"/>
        <v>119.99999999999999</v>
      </c>
      <c r="J41" s="111">
        <v>0</v>
      </c>
      <c r="K41" s="111">
        <v>0</v>
      </c>
      <c r="L41" s="111">
        <v>0</v>
      </c>
      <c r="M41" s="111">
        <v>0</v>
      </c>
      <c r="N41" s="111">
        <f t="shared" si="1"/>
        <v>119.99999999999999</v>
      </c>
      <c r="O41" s="111">
        <v>0</v>
      </c>
      <c r="P41" s="111">
        <v>0</v>
      </c>
      <c r="Q41" s="111">
        <v>0</v>
      </c>
      <c r="R41" s="111">
        <v>0</v>
      </c>
      <c r="S41" s="112">
        <f t="shared" si="2"/>
        <v>119.99999999999999</v>
      </c>
      <c r="T41" s="53"/>
      <c r="V41" s="53"/>
      <c r="W41" s="53"/>
    </row>
    <row r="42" spans="1:23" ht="45.65" customHeight="1" x14ac:dyDescent="0.55000000000000004">
      <c r="A42" s="105">
        <v>37</v>
      </c>
      <c r="B42" s="113">
        <v>1037</v>
      </c>
      <c r="C42" s="107" t="s">
        <v>65</v>
      </c>
      <c r="D42" s="108"/>
      <c r="E42" s="107"/>
      <c r="F42" s="109">
        <v>150</v>
      </c>
      <c r="G42" s="110">
        <v>26</v>
      </c>
      <c r="H42" s="110">
        <v>0</v>
      </c>
      <c r="I42" s="111">
        <f t="shared" si="0"/>
        <v>150</v>
      </c>
      <c r="J42" s="111">
        <v>0</v>
      </c>
      <c r="K42" s="111">
        <v>0</v>
      </c>
      <c r="L42" s="111">
        <v>0</v>
      </c>
      <c r="M42" s="111">
        <v>0</v>
      </c>
      <c r="N42" s="111">
        <f t="shared" si="1"/>
        <v>150</v>
      </c>
      <c r="O42" s="111">
        <v>0</v>
      </c>
      <c r="P42" s="111">
        <v>0</v>
      </c>
      <c r="Q42" s="111">
        <v>0</v>
      </c>
      <c r="R42" s="111">
        <v>0</v>
      </c>
      <c r="S42" s="112">
        <f t="shared" si="2"/>
        <v>150</v>
      </c>
      <c r="T42" s="53"/>
      <c r="V42" s="53"/>
      <c r="W42" s="53"/>
    </row>
    <row r="43" spans="1:23" ht="45.65" customHeight="1" x14ac:dyDescent="0.55000000000000004">
      <c r="A43" s="105">
        <v>38</v>
      </c>
      <c r="B43" s="106">
        <v>1038</v>
      </c>
      <c r="C43" s="107" t="s">
        <v>66</v>
      </c>
      <c r="D43" s="108"/>
      <c r="E43" s="107"/>
      <c r="F43" s="109">
        <v>150</v>
      </c>
      <c r="G43" s="110">
        <v>26</v>
      </c>
      <c r="H43" s="110">
        <v>0</v>
      </c>
      <c r="I43" s="111">
        <f t="shared" si="0"/>
        <v>150</v>
      </c>
      <c r="J43" s="111">
        <v>0</v>
      </c>
      <c r="K43" s="111">
        <v>0</v>
      </c>
      <c r="L43" s="111">
        <v>0</v>
      </c>
      <c r="M43" s="111">
        <v>0</v>
      </c>
      <c r="N43" s="111">
        <f t="shared" si="1"/>
        <v>150</v>
      </c>
      <c r="O43" s="111">
        <v>0</v>
      </c>
      <c r="P43" s="111">
        <v>0</v>
      </c>
      <c r="Q43" s="111">
        <v>0</v>
      </c>
      <c r="R43" s="111">
        <v>0</v>
      </c>
      <c r="S43" s="112">
        <f t="shared" si="2"/>
        <v>150</v>
      </c>
      <c r="T43" s="53"/>
      <c r="V43" s="53"/>
      <c r="W43" s="53"/>
    </row>
    <row r="44" spans="1:23" ht="45.65" customHeight="1" x14ac:dyDescent="0.55000000000000004">
      <c r="A44" s="105">
        <v>39</v>
      </c>
      <c r="B44" s="113">
        <v>1039</v>
      </c>
      <c r="C44" s="107" t="s">
        <v>67</v>
      </c>
      <c r="D44" s="108"/>
      <c r="E44" s="107"/>
      <c r="F44" s="109">
        <v>150</v>
      </c>
      <c r="G44" s="110">
        <v>26</v>
      </c>
      <c r="H44" s="110">
        <v>0</v>
      </c>
      <c r="I44" s="111">
        <f t="shared" si="0"/>
        <v>150</v>
      </c>
      <c r="J44" s="111">
        <v>0</v>
      </c>
      <c r="K44" s="111">
        <v>0</v>
      </c>
      <c r="L44" s="111">
        <v>0</v>
      </c>
      <c r="M44" s="111">
        <v>0</v>
      </c>
      <c r="N44" s="111">
        <f t="shared" si="1"/>
        <v>150</v>
      </c>
      <c r="O44" s="111">
        <v>0</v>
      </c>
      <c r="P44" s="111">
        <v>0</v>
      </c>
      <c r="Q44" s="111">
        <v>0</v>
      </c>
      <c r="R44" s="111">
        <v>0</v>
      </c>
      <c r="S44" s="112">
        <f t="shared" si="2"/>
        <v>150</v>
      </c>
      <c r="T44" s="53"/>
      <c r="V44" s="53"/>
      <c r="W44" s="53"/>
    </row>
    <row r="45" spans="1:23" ht="45.65" customHeight="1" x14ac:dyDescent="0.55000000000000004">
      <c r="A45" s="105">
        <v>41</v>
      </c>
      <c r="B45" s="106">
        <v>1040</v>
      </c>
      <c r="C45" s="107" t="s">
        <v>68</v>
      </c>
      <c r="D45" s="108"/>
      <c r="E45" s="107"/>
      <c r="F45" s="109">
        <v>750</v>
      </c>
      <c r="G45" s="110">
        <v>26</v>
      </c>
      <c r="H45" s="110">
        <v>0</v>
      </c>
      <c r="I45" s="111">
        <f t="shared" si="0"/>
        <v>750</v>
      </c>
      <c r="J45" s="111">
        <v>0</v>
      </c>
      <c r="K45" s="111">
        <v>0</v>
      </c>
      <c r="L45" s="111">
        <v>0</v>
      </c>
      <c r="M45" s="111">
        <v>0</v>
      </c>
      <c r="N45" s="111">
        <f t="shared" si="1"/>
        <v>750</v>
      </c>
      <c r="O45" s="111">
        <v>0</v>
      </c>
      <c r="P45" s="111">
        <v>0</v>
      </c>
      <c r="Q45" s="111">
        <v>0</v>
      </c>
      <c r="R45" s="111">
        <v>0</v>
      </c>
      <c r="S45" s="112">
        <f t="shared" si="2"/>
        <v>750</v>
      </c>
      <c r="T45" s="53"/>
      <c r="V45" s="53">
        <v>400</v>
      </c>
      <c r="W45" s="118">
        <f t="shared" ref="W45:W52" si="3">F45-V45</f>
        <v>350</v>
      </c>
    </row>
    <row r="46" spans="1:23" ht="45.65" customHeight="1" x14ac:dyDescent="0.55000000000000004">
      <c r="A46" s="105">
        <v>42</v>
      </c>
      <c r="B46" s="113">
        <v>1041</v>
      </c>
      <c r="C46" s="107" t="s">
        <v>69</v>
      </c>
      <c r="D46" s="108"/>
      <c r="E46" s="107"/>
      <c r="F46" s="109">
        <v>350</v>
      </c>
      <c r="G46" s="110">
        <v>26</v>
      </c>
      <c r="H46" s="110">
        <v>0</v>
      </c>
      <c r="I46" s="111">
        <f t="shared" si="0"/>
        <v>350</v>
      </c>
      <c r="J46" s="111">
        <v>0</v>
      </c>
      <c r="K46" s="111">
        <v>0</v>
      </c>
      <c r="L46" s="111">
        <v>0</v>
      </c>
      <c r="M46" s="111">
        <v>0</v>
      </c>
      <c r="N46" s="111">
        <f t="shared" si="1"/>
        <v>350</v>
      </c>
      <c r="O46" s="111">
        <v>0</v>
      </c>
      <c r="P46" s="111">
        <v>0</v>
      </c>
      <c r="Q46" s="111">
        <v>0</v>
      </c>
      <c r="R46" s="111">
        <v>0</v>
      </c>
      <c r="S46" s="112">
        <f t="shared" si="2"/>
        <v>350</v>
      </c>
      <c r="T46" s="53"/>
      <c r="V46" s="118">
        <v>0</v>
      </c>
      <c r="W46" s="118">
        <f t="shared" si="3"/>
        <v>350</v>
      </c>
    </row>
    <row r="47" spans="1:23" ht="45.65" customHeight="1" x14ac:dyDescent="0.55000000000000004">
      <c r="A47" s="105">
        <v>43</v>
      </c>
      <c r="B47" s="106">
        <v>1042</v>
      </c>
      <c r="C47" s="107" t="s">
        <v>70</v>
      </c>
      <c r="D47" s="108"/>
      <c r="E47" s="107"/>
      <c r="F47" s="109">
        <v>300</v>
      </c>
      <c r="G47" s="110">
        <v>26</v>
      </c>
      <c r="H47" s="110">
        <v>0</v>
      </c>
      <c r="I47" s="111">
        <f t="shared" si="0"/>
        <v>300</v>
      </c>
      <c r="J47" s="111">
        <v>0</v>
      </c>
      <c r="K47" s="111">
        <v>0</v>
      </c>
      <c r="L47" s="111">
        <v>0</v>
      </c>
      <c r="M47" s="111">
        <v>0</v>
      </c>
      <c r="N47" s="111">
        <f t="shared" si="1"/>
        <v>300</v>
      </c>
      <c r="O47" s="111">
        <v>0</v>
      </c>
      <c r="P47" s="111">
        <v>0</v>
      </c>
      <c r="Q47" s="111">
        <v>0</v>
      </c>
      <c r="R47" s="111">
        <v>0</v>
      </c>
      <c r="S47" s="112">
        <f t="shared" si="2"/>
        <v>300</v>
      </c>
      <c r="T47" s="53"/>
      <c r="V47" s="53">
        <v>0</v>
      </c>
      <c r="W47" s="118">
        <f t="shared" si="3"/>
        <v>300</v>
      </c>
    </row>
    <row r="48" spans="1:23" ht="45.65" customHeight="1" x14ac:dyDescent="0.55000000000000004">
      <c r="A48" s="105">
        <v>45</v>
      </c>
      <c r="B48" s="106">
        <v>1044</v>
      </c>
      <c r="C48" s="107" t="s">
        <v>72</v>
      </c>
      <c r="D48" s="108"/>
      <c r="E48" s="107"/>
      <c r="F48" s="109">
        <v>600</v>
      </c>
      <c r="G48" s="110">
        <v>26</v>
      </c>
      <c r="H48" s="110">
        <v>0</v>
      </c>
      <c r="I48" s="111">
        <f t="shared" si="0"/>
        <v>600</v>
      </c>
      <c r="J48" s="111">
        <v>0</v>
      </c>
      <c r="K48" s="111">
        <v>0</v>
      </c>
      <c r="L48" s="111">
        <v>0</v>
      </c>
      <c r="M48" s="111">
        <v>0</v>
      </c>
      <c r="N48" s="111">
        <f t="shared" si="1"/>
        <v>600</v>
      </c>
      <c r="O48" s="111">
        <v>0</v>
      </c>
      <c r="P48" s="111">
        <v>0</v>
      </c>
      <c r="Q48" s="111">
        <v>0</v>
      </c>
      <c r="R48" s="111">
        <v>0</v>
      </c>
      <c r="S48" s="112">
        <f t="shared" si="2"/>
        <v>600</v>
      </c>
      <c r="T48" s="53"/>
      <c r="V48" s="53">
        <v>0</v>
      </c>
      <c r="W48" s="53">
        <f t="shared" si="3"/>
        <v>600</v>
      </c>
    </row>
    <row r="49" spans="1:23" ht="45.65" customHeight="1" x14ac:dyDescent="0.55000000000000004">
      <c r="A49" s="105">
        <v>46</v>
      </c>
      <c r="B49" s="113">
        <v>1045</v>
      </c>
      <c r="C49" s="107" t="s">
        <v>43</v>
      </c>
      <c r="D49" s="108"/>
      <c r="E49" s="107"/>
      <c r="F49" s="109">
        <v>600</v>
      </c>
      <c r="G49" s="110">
        <v>26</v>
      </c>
      <c r="H49" s="110">
        <v>0</v>
      </c>
      <c r="I49" s="111">
        <f t="shared" si="0"/>
        <v>600</v>
      </c>
      <c r="J49" s="111">
        <v>0</v>
      </c>
      <c r="K49" s="111">
        <v>0</v>
      </c>
      <c r="L49" s="111">
        <v>0</v>
      </c>
      <c r="M49" s="111">
        <v>0</v>
      </c>
      <c r="N49" s="111">
        <f t="shared" si="1"/>
        <v>600</v>
      </c>
      <c r="O49" s="111">
        <v>0</v>
      </c>
      <c r="P49" s="111">
        <v>0</v>
      </c>
      <c r="Q49" s="111">
        <v>0</v>
      </c>
      <c r="R49" s="111">
        <v>0</v>
      </c>
      <c r="S49" s="112">
        <f t="shared" si="2"/>
        <v>600</v>
      </c>
      <c r="T49" s="53"/>
      <c r="V49" s="53">
        <v>430</v>
      </c>
      <c r="W49" s="53">
        <f t="shared" si="3"/>
        <v>170</v>
      </c>
    </row>
    <row r="50" spans="1:23" ht="45.65" customHeight="1" x14ac:dyDescent="0.55000000000000004">
      <c r="A50" s="105">
        <v>47</v>
      </c>
      <c r="B50" s="106">
        <v>1046</v>
      </c>
      <c r="C50" s="107" t="s">
        <v>71</v>
      </c>
      <c r="D50" s="108"/>
      <c r="E50" s="107"/>
      <c r="F50" s="109">
        <v>150</v>
      </c>
      <c r="G50" s="110">
        <v>26</v>
      </c>
      <c r="H50" s="110">
        <v>0</v>
      </c>
      <c r="I50" s="111">
        <f t="shared" si="0"/>
        <v>150</v>
      </c>
      <c r="J50" s="111">
        <v>0</v>
      </c>
      <c r="K50" s="111">
        <v>0</v>
      </c>
      <c r="L50" s="111">
        <v>0</v>
      </c>
      <c r="M50" s="111">
        <v>0</v>
      </c>
      <c r="N50" s="111">
        <f t="shared" si="1"/>
        <v>150</v>
      </c>
      <c r="O50" s="111">
        <v>0</v>
      </c>
      <c r="P50" s="111">
        <v>0</v>
      </c>
      <c r="Q50" s="111">
        <v>0</v>
      </c>
      <c r="R50" s="111">
        <v>0</v>
      </c>
      <c r="S50" s="112">
        <f t="shared" si="2"/>
        <v>150</v>
      </c>
      <c r="T50" s="53"/>
      <c r="V50" s="53">
        <v>0</v>
      </c>
      <c r="W50" s="53">
        <f t="shared" si="3"/>
        <v>150</v>
      </c>
    </row>
    <row r="51" spans="1:23" ht="45.65" customHeight="1" x14ac:dyDescent="0.55000000000000004">
      <c r="A51" s="105">
        <v>48</v>
      </c>
      <c r="B51" s="113">
        <v>1047</v>
      </c>
      <c r="C51" s="107" t="s">
        <v>73</v>
      </c>
      <c r="D51" s="108"/>
      <c r="E51" s="107"/>
      <c r="F51" s="109">
        <v>150</v>
      </c>
      <c r="G51" s="110">
        <v>26</v>
      </c>
      <c r="H51" s="110">
        <v>0</v>
      </c>
      <c r="I51" s="111">
        <f t="shared" si="0"/>
        <v>150</v>
      </c>
      <c r="J51" s="111">
        <v>0</v>
      </c>
      <c r="K51" s="111">
        <v>0</v>
      </c>
      <c r="L51" s="111">
        <v>0</v>
      </c>
      <c r="M51" s="111">
        <v>0</v>
      </c>
      <c r="N51" s="111">
        <f t="shared" si="1"/>
        <v>150</v>
      </c>
      <c r="O51" s="111">
        <v>0</v>
      </c>
      <c r="P51" s="111">
        <v>0</v>
      </c>
      <c r="Q51" s="111">
        <v>0</v>
      </c>
      <c r="R51" s="111">
        <v>0</v>
      </c>
      <c r="S51" s="112">
        <f t="shared" si="2"/>
        <v>150</v>
      </c>
      <c r="T51" s="53"/>
      <c r="V51" s="53">
        <v>0</v>
      </c>
      <c r="W51" s="53">
        <f t="shared" si="3"/>
        <v>150</v>
      </c>
    </row>
    <row r="52" spans="1:23" ht="45.65" customHeight="1" thickBot="1" x14ac:dyDescent="0.6">
      <c r="A52" s="105">
        <v>49</v>
      </c>
      <c r="B52" s="106">
        <v>1048</v>
      </c>
      <c r="C52" s="107" t="s">
        <v>56</v>
      </c>
      <c r="D52" s="108"/>
      <c r="E52" s="107"/>
      <c r="F52" s="109">
        <v>600</v>
      </c>
      <c r="G52" s="110">
        <v>26</v>
      </c>
      <c r="H52" s="110">
        <v>0</v>
      </c>
      <c r="I52" s="111">
        <f t="shared" si="0"/>
        <v>600</v>
      </c>
      <c r="J52" s="111">
        <v>0</v>
      </c>
      <c r="K52" s="111">
        <v>0</v>
      </c>
      <c r="L52" s="111">
        <v>0</v>
      </c>
      <c r="M52" s="111">
        <v>0</v>
      </c>
      <c r="N52" s="111">
        <f t="shared" si="1"/>
        <v>600</v>
      </c>
      <c r="O52" s="111">
        <v>0</v>
      </c>
      <c r="P52" s="111">
        <v>0</v>
      </c>
      <c r="Q52" s="111">
        <v>0</v>
      </c>
      <c r="R52" s="111">
        <v>0</v>
      </c>
      <c r="S52" s="112">
        <f t="shared" si="2"/>
        <v>600</v>
      </c>
      <c r="T52" s="53"/>
      <c r="V52" s="53">
        <v>250</v>
      </c>
      <c r="W52" s="53">
        <f t="shared" si="3"/>
        <v>350</v>
      </c>
    </row>
    <row r="53" spans="1:23" ht="45.65" hidden="1" customHeight="1" thickBot="1" x14ac:dyDescent="0.6">
      <c r="A53" s="26">
        <v>50</v>
      </c>
      <c r="B53" s="1"/>
      <c r="C53" s="12"/>
      <c r="D53" s="19"/>
      <c r="E53" s="12"/>
      <c r="F53" s="11"/>
      <c r="G53" s="3">
        <v>26</v>
      </c>
      <c r="H53" s="27">
        <v>0</v>
      </c>
      <c r="I53" s="28">
        <f t="shared" si="0"/>
        <v>0</v>
      </c>
      <c r="J53" s="21">
        <v>0</v>
      </c>
      <c r="K53" s="21">
        <v>0</v>
      </c>
      <c r="L53" s="21">
        <v>0</v>
      </c>
      <c r="M53" s="21">
        <v>0</v>
      </c>
      <c r="N53" s="29">
        <f t="shared" si="1"/>
        <v>0</v>
      </c>
      <c r="O53" s="43">
        <v>0</v>
      </c>
      <c r="P53" s="21">
        <v>0</v>
      </c>
      <c r="Q53" s="21">
        <v>0</v>
      </c>
      <c r="R53" s="29">
        <v>0</v>
      </c>
      <c r="S53" s="49">
        <f t="shared" si="2"/>
        <v>0</v>
      </c>
      <c r="T53" s="53"/>
    </row>
    <row r="54" spans="1:23" ht="45.65" hidden="1" customHeight="1" x14ac:dyDescent="0.55000000000000004">
      <c r="A54" s="33">
        <v>51</v>
      </c>
      <c r="B54" s="1"/>
      <c r="C54" s="12"/>
      <c r="D54" s="19"/>
      <c r="E54" s="12"/>
      <c r="F54" s="11"/>
      <c r="G54" s="3">
        <v>26</v>
      </c>
      <c r="H54" s="27">
        <v>0</v>
      </c>
      <c r="I54" s="28">
        <f t="shared" si="0"/>
        <v>0</v>
      </c>
      <c r="J54" s="21">
        <v>0</v>
      </c>
      <c r="K54" s="21">
        <v>0</v>
      </c>
      <c r="L54" s="21">
        <v>0</v>
      </c>
      <c r="M54" s="21">
        <v>0</v>
      </c>
      <c r="N54" s="29">
        <f t="shared" si="1"/>
        <v>0</v>
      </c>
      <c r="O54" s="43">
        <v>0</v>
      </c>
      <c r="P54" s="21">
        <v>0</v>
      </c>
      <c r="Q54" s="21">
        <v>0</v>
      </c>
      <c r="R54" s="29">
        <v>0</v>
      </c>
      <c r="S54" s="49">
        <f t="shared" si="2"/>
        <v>0</v>
      </c>
      <c r="T54" s="53"/>
    </row>
    <row r="55" spans="1:23" ht="45.65" hidden="1" customHeight="1" thickBot="1" x14ac:dyDescent="0.6">
      <c r="A55" s="26">
        <v>52</v>
      </c>
      <c r="B55" s="1"/>
      <c r="C55" s="12"/>
      <c r="D55" s="19"/>
      <c r="E55" s="12"/>
      <c r="F55" s="11"/>
      <c r="G55" s="3">
        <v>26</v>
      </c>
      <c r="H55" s="27">
        <v>0</v>
      </c>
      <c r="I55" s="28">
        <f t="shared" si="0"/>
        <v>0</v>
      </c>
      <c r="J55" s="21">
        <v>0</v>
      </c>
      <c r="K55" s="21">
        <v>0</v>
      </c>
      <c r="L55" s="21">
        <v>0</v>
      </c>
      <c r="M55" s="21">
        <v>0</v>
      </c>
      <c r="N55" s="29">
        <f t="shared" si="1"/>
        <v>0</v>
      </c>
      <c r="O55" s="43">
        <v>0</v>
      </c>
      <c r="P55" s="21">
        <v>0</v>
      </c>
      <c r="Q55" s="21">
        <v>0</v>
      </c>
      <c r="R55" s="29">
        <v>0</v>
      </c>
      <c r="S55" s="49">
        <f t="shared" si="2"/>
        <v>0</v>
      </c>
      <c r="T55" s="53"/>
    </row>
    <row r="56" spans="1:23" ht="45.65" hidden="1" customHeight="1" x14ac:dyDescent="0.55000000000000004">
      <c r="A56" s="33">
        <v>53</v>
      </c>
      <c r="B56" s="1"/>
      <c r="C56" s="12"/>
      <c r="D56" s="19"/>
      <c r="E56" s="12"/>
      <c r="F56" s="11"/>
      <c r="G56" s="3">
        <v>26</v>
      </c>
      <c r="H56" s="27">
        <v>0</v>
      </c>
      <c r="I56" s="28">
        <f t="shared" si="0"/>
        <v>0</v>
      </c>
      <c r="J56" s="21">
        <v>0</v>
      </c>
      <c r="K56" s="21">
        <v>0</v>
      </c>
      <c r="L56" s="21">
        <v>0</v>
      </c>
      <c r="M56" s="21">
        <v>0</v>
      </c>
      <c r="N56" s="29">
        <f t="shared" si="1"/>
        <v>0</v>
      </c>
      <c r="O56" s="43">
        <v>0</v>
      </c>
      <c r="P56" s="21">
        <v>0</v>
      </c>
      <c r="Q56" s="21">
        <v>0</v>
      </c>
      <c r="R56" s="29">
        <v>0</v>
      </c>
      <c r="S56" s="49">
        <f t="shared" si="2"/>
        <v>0</v>
      </c>
      <c r="T56" s="53"/>
    </row>
    <row r="57" spans="1:23" ht="45.65" hidden="1" customHeight="1" thickBot="1" x14ac:dyDescent="0.6">
      <c r="A57" s="26">
        <v>54</v>
      </c>
      <c r="B57" s="1"/>
      <c r="C57" s="12"/>
      <c r="D57" s="19"/>
      <c r="E57" s="12"/>
      <c r="F57" s="11"/>
      <c r="G57" s="3">
        <v>26</v>
      </c>
      <c r="H57" s="27">
        <v>0</v>
      </c>
      <c r="I57" s="28">
        <f t="shared" si="0"/>
        <v>0</v>
      </c>
      <c r="J57" s="21">
        <v>0</v>
      </c>
      <c r="K57" s="21">
        <v>0</v>
      </c>
      <c r="L57" s="21">
        <v>0</v>
      </c>
      <c r="M57" s="21">
        <v>0</v>
      </c>
      <c r="N57" s="29">
        <f t="shared" si="1"/>
        <v>0</v>
      </c>
      <c r="O57" s="43">
        <v>0</v>
      </c>
      <c r="P57" s="21">
        <v>0</v>
      </c>
      <c r="Q57" s="21">
        <v>0</v>
      </c>
      <c r="R57" s="29">
        <v>0</v>
      </c>
      <c r="S57" s="49">
        <f t="shared" si="2"/>
        <v>0</v>
      </c>
      <c r="T57" s="53"/>
    </row>
    <row r="58" spans="1:23" ht="45.65" hidden="1" customHeight="1" x14ac:dyDescent="0.55000000000000004">
      <c r="A58" s="33">
        <v>55</v>
      </c>
      <c r="B58" s="1"/>
      <c r="C58" s="12"/>
      <c r="D58" s="19"/>
      <c r="E58" s="12"/>
      <c r="F58" s="11"/>
      <c r="G58" s="3">
        <v>26</v>
      </c>
      <c r="H58" s="27">
        <v>0</v>
      </c>
      <c r="I58" s="28">
        <f t="shared" si="0"/>
        <v>0</v>
      </c>
      <c r="J58" s="21">
        <v>0</v>
      </c>
      <c r="K58" s="21">
        <v>0</v>
      </c>
      <c r="L58" s="21">
        <v>0</v>
      </c>
      <c r="M58" s="21">
        <v>0</v>
      </c>
      <c r="N58" s="29">
        <f t="shared" si="1"/>
        <v>0</v>
      </c>
      <c r="O58" s="43">
        <v>0</v>
      </c>
      <c r="P58" s="21">
        <v>0</v>
      </c>
      <c r="Q58" s="21">
        <v>0</v>
      </c>
      <c r="R58" s="29">
        <v>0</v>
      </c>
      <c r="S58" s="49">
        <f t="shared" si="2"/>
        <v>0</v>
      </c>
      <c r="T58" s="53"/>
    </row>
    <row r="59" spans="1:23" ht="45.65" hidden="1" customHeight="1" thickBot="1" x14ac:dyDescent="0.6">
      <c r="A59" s="26">
        <v>56</v>
      </c>
      <c r="B59" s="1"/>
      <c r="C59" s="12"/>
      <c r="D59" s="19"/>
      <c r="E59" s="12"/>
      <c r="F59" s="11"/>
      <c r="G59" s="3">
        <v>26</v>
      </c>
      <c r="H59" s="27">
        <v>0</v>
      </c>
      <c r="I59" s="28">
        <f t="shared" si="0"/>
        <v>0</v>
      </c>
      <c r="J59" s="21">
        <v>0</v>
      </c>
      <c r="K59" s="21">
        <v>0</v>
      </c>
      <c r="L59" s="21">
        <v>0</v>
      </c>
      <c r="M59" s="21">
        <v>0</v>
      </c>
      <c r="N59" s="29">
        <f t="shared" si="1"/>
        <v>0</v>
      </c>
      <c r="O59" s="43">
        <v>0</v>
      </c>
      <c r="P59" s="21">
        <v>0</v>
      </c>
      <c r="Q59" s="21">
        <v>0</v>
      </c>
      <c r="R59" s="29">
        <v>0</v>
      </c>
      <c r="S59" s="49">
        <f t="shared" si="2"/>
        <v>0</v>
      </c>
      <c r="T59" s="53"/>
    </row>
    <row r="60" spans="1:23" ht="45.65" hidden="1" customHeight="1" x14ac:dyDescent="0.55000000000000004">
      <c r="A60" s="33">
        <v>57</v>
      </c>
      <c r="B60" s="1"/>
      <c r="C60" s="12"/>
      <c r="D60" s="19"/>
      <c r="E60" s="12"/>
      <c r="F60" s="11"/>
      <c r="G60" s="3">
        <v>26</v>
      </c>
      <c r="H60" s="27">
        <v>0</v>
      </c>
      <c r="I60" s="28">
        <f t="shared" si="0"/>
        <v>0</v>
      </c>
      <c r="J60" s="21">
        <v>0</v>
      </c>
      <c r="K60" s="21">
        <v>0</v>
      </c>
      <c r="L60" s="21">
        <v>0</v>
      </c>
      <c r="M60" s="21">
        <v>0</v>
      </c>
      <c r="N60" s="29">
        <f t="shared" si="1"/>
        <v>0</v>
      </c>
      <c r="O60" s="43">
        <v>0</v>
      </c>
      <c r="P60" s="21">
        <v>0</v>
      </c>
      <c r="Q60" s="21">
        <v>0</v>
      </c>
      <c r="R60" s="29">
        <v>0</v>
      </c>
      <c r="S60" s="49">
        <f t="shared" si="2"/>
        <v>0</v>
      </c>
      <c r="T60" s="53"/>
    </row>
    <row r="61" spans="1:23" ht="45.65" hidden="1" customHeight="1" thickBot="1" x14ac:dyDescent="0.6">
      <c r="A61" s="26">
        <v>58</v>
      </c>
      <c r="B61" s="1"/>
      <c r="C61" s="12"/>
      <c r="D61" s="19"/>
      <c r="E61" s="12"/>
      <c r="F61" s="11"/>
      <c r="G61" s="3">
        <v>26</v>
      </c>
      <c r="H61" s="27">
        <v>0</v>
      </c>
      <c r="I61" s="28">
        <f t="shared" si="0"/>
        <v>0</v>
      </c>
      <c r="J61" s="21">
        <v>0</v>
      </c>
      <c r="K61" s="21">
        <v>0</v>
      </c>
      <c r="L61" s="21">
        <v>0</v>
      </c>
      <c r="M61" s="21">
        <v>0</v>
      </c>
      <c r="N61" s="29">
        <f t="shared" si="1"/>
        <v>0</v>
      </c>
      <c r="O61" s="43">
        <v>0</v>
      </c>
      <c r="P61" s="21">
        <v>0</v>
      </c>
      <c r="Q61" s="21">
        <v>0</v>
      </c>
      <c r="R61" s="29">
        <v>0</v>
      </c>
      <c r="S61" s="49">
        <f t="shared" si="2"/>
        <v>0</v>
      </c>
      <c r="T61" s="52"/>
    </row>
    <row r="62" spans="1:23" ht="45.65" hidden="1" customHeight="1" x14ac:dyDescent="0.55000000000000004">
      <c r="A62" s="33">
        <v>59</v>
      </c>
      <c r="B62" s="1"/>
      <c r="C62" s="12"/>
      <c r="D62" s="19"/>
      <c r="E62" s="12"/>
      <c r="F62" s="11"/>
      <c r="G62" s="3">
        <v>26</v>
      </c>
      <c r="H62" s="27">
        <v>0</v>
      </c>
      <c r="I62" s="28">
        <f t="shared" si="0"/>
        <v>0</v>
      </c>
      <c r="J62" s="21">
        <v>0</v>
      </c>
      <c r="K62" s="21">
        <v>0</v>
      </c>
      <c r="L62" s="21">
        <v>0</v>
      </c>
      <c r="M62" s="21">
        <v>0</v>
      </c>
      <c r="N62" s="29">
        <f t="shared" si="1"/>
        <v>0</v>
      </c>
      <c r="O62" s="43">
        <v>0</v>
      </c>
      <c r="P62" s="21">
        <v>0</v>
      </c>
      <c r="Q62" s="21">
        <v>0</v>
      </c>
      <c r="R62" s="29">
        <v>0</v>
      </c>
      <c r="S62" s="49">
        <f t="shared" si="2"/>
        <v>0</v>
      </c>
      <c r="T62" s="51"/>
    </row>
    <row r="63" spans="1:23" ht="45.65" hidden="1" customHeight="1" thickBot="1" x14ac:dyDescent="0.6">
      <c r="A63" s="26">
        <v>60</v>
      </c>
      <c r="B63" s="1"/>
      <c r="C63" s="12"/>
      <c r="D63" s="19"/>
      <c r="E63" s="12"/>
      <c r="F63" s="11"/>
      <c r="G63" s="3">
        <v>26</v>
      </c>
      <c r="H63" s="27">
        <v>0</v>
      </c>
      <c r="I63" s="28">
        <f t="shared" si="0"/>
        <v>0</v>
      </c>
      <c r="J63" s="21">
        <v>0</v>
      </c>
      <c r="K63" s="21">
        <v>0</v>
      </c>
      <c r="L63" s="21">
        <v>0</v>
      </c>
      <c r="M63" s="21">
        <v>0</v>
      </c>
      <c r="N63" s="29">
        <f t="shared" si="1"/>
        <v>0</v>
      </c>
      <c r="O63" s="43">
        <v>0</v>
      </c>
      <c r="P63" s="21">
        <v>0</v>
      </c>
      <c r="Q63" s="21">
        <v>0</v>
      </c>
      <c r="R63" s="29">
        <v>0</v>
      </c>
      <c r="S63" s="49">
        <f t="shared" si="2"/>
        <v>0</v>
      </c>
      <c r="T63" s="51"/>
    </row>
    <row r="64" spans="1:23" ht="45.65" hidden="1" customHeight="1" x14ac:dyDescent="0.55000000000000004">
      <c r="A64" s="33">
        <v>61</v>
      </c>
      <c r="B64" s="1"/>
      <c r="C64" s="12"/>
      <c r="D64" s="19"/>
      <c r="E64" s="12"/>
      <c r="F64" s="11"/>
      <c r="G64" s="3">
        <v>26</v>
      </c>
      <c r="H64" s="27">
        <v>0</v>
      </c>
      <c r="I64" s="28">
        <f t="shared" si="0"/>
        <v>0</v>
      </c>
      <c r="J64" s="21">
        <v>0</v>
      </c>
      <c r="K64" s="21">
        <v>0</v>
      </c>
      <c r="L64" s="21">
        <v>0</v>
      </c>
      <c r="M64" s="21">
        <v>0</v>
      </c>
      <c r="N64" s="29">
        <f t="shared" si="1"/>
        <v>0</v>
      </c>
      <c r="O64" s="43">
        <v>0</v>
      </c>
      <c r="P64" s="21">
        <v>0</v>
      </c>
      <c r="Q64" s="21">
        <v>0</v>
      </c>
      <c r="R64" s="29">
        <v>0</v>
      </c>
      <c r="S64" s="49">
        <f t="shared" si="2"/>
        <v>0</v>
      </c>
      <c r="T64" s="51"/>
    </row>
    <row r="65" spans="1:20" ht="45.65" hidden="1" customHeight="1" thickBot="1" x14ac:dyDescent="0.6">
      <c r="A65" s="26">
        <v>62</v>
      </c>
      <c r="B65" s="15"/>
      <c r="C65" s="14"/>
      <c r="D65" s="38"/>
      <c r="E65" s="14"/>
      <c r="F65" s="37"/>
      <c r="G65" s="39">
        <v>26</v>
      </c>
      <c r="H65" s="42">
        <v>0</v>
      </c>
      <c r="I65" s="47">
        <f t="shared" si="0"/>
        <v>0</v>
      </c>
      <c r="J65" s="40">
        <v>0</v>
      </c>
      <c r="K65" s="40">
        <v>0</v>
      </c>
      <c r="L65" s="40">
        <v>0</v>
      </c>
      <c r="M65" s="40">
        <v>0</v>
      </c>
      <c r="N65" s="48">
        <f t="shared" si="1"/>
        <v>0</v>
      </c>
      <c r="O65" s="44">
        <v>0</v>
      </c>
      <c r="P65" s="40">
        <v>0</v>
      </c>
      <c r="Q65" s="40">
        <v>0</v>
      </c>
      <c r="R65" s="48">
        <v>0</v>
      </c>
      <c r="S65" s="50">
        <f t="shared" si="2"/>
        <v>0</v>
      </c>
      <c r="T65" s="54"/>
    </row>
    <row r="66" spans="1:20" ht="50.15" customHeight="1" thickBot="1" x14ac:dyDescent="0.45">
      <c r="A66" s="256" t="s">
        <v>0</v>
      </c>
      <c r="B66" s="257"/>
      <c r="C66" s="257"/>
      <c r="D66" s="257"/>
      <c r="E66" s="257"/>
      <c r="F66" s="257"/>
      <c r="G66" s="257"/>
      <c r="H66" s="258"/>
      <c r="I66" s="116">
        <f t="shared" ref="I66:S66" si="4">SUM(I6:I65)</f>
        <v>14816.9</v>
      </c>
      <c r="J66" s="116">
        <f t="shared" si="4"/>
        <v>0</v>
      </c>
      <c r="K66" s="117">
        <f t="shared" si="4"/>
        <v>0</v>
      </c>
      <c r="L66" s="116">
        <f t="shared" si="4"/>
        <v>0</v>
      </c>
      <c r="M66" s="116">
        <f t="shared" si="4"/>
        <v>0</v>
      </c>
      <c r="N66" s="116">
        <f t="shared" si="4"/>
        <v>14816.9</v>
      </c>
      <c r="O66" s="116">
        <f t="shared" si="4"/>
        <v>0</v>
      </c>
      <c r="P66" s="116">
        <f t="shared" si="4"/>
        <v>0</v>
      </c>
      <c r="Q66" s="116">
        <f t="shared" si="4"/>
        <v>0</v>
      </c>
      <c r="R66" s="116">
        <f t="shared" si="4"/>
        <v>0</v>
      </c>
      <c r="S66" s="116">
        <f t="shared" si="4"/>
        <v>14816.9</v>
      </c>
      <c r="T66" s="32"/>
    </row>
  </sheetData>
  <mergeCells count="18">
    <mergeCell ref="W4:W5"/>
    <mergeCell ref="A66:H66"/>
    <mergeCell ref="H4:H5"/>
    <mergeCell ref="I4:N4"/>
    <mergeCell ref="O4:R4"/>
    <mergeCell ref="S4:S5"/>
    <mergeCell ref="T4:T5"/>
    <mergeCell ref="V4:V5"/>
    <mergeCell ref="A1:T1"/>
    <mergeCell ref="A2:T2"/>
    <mergeCell ref="A3:T3"/>
    <mergeCell ref="A4:A5"/>
    <mergeCell ref="B4:B5"/>
    <mergeCell ref="C4:C5"/>
    <mergeCell ref="D4:D5"/>
    <mergeCell ref="E4:E5"/>
    <mergeCell ref="F4:F5"/>
    <mergeCell ref="G4:G5"/>
  </mergeCells>
  <conditionalFormatting sqref="C6:C65">
    <cfRule type="duplicateValues" dxfId="0" priority="1"/>
  </conditionalFormatting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30</vt:i4>
      </vt:variant>
    </vt:vector>
  </HeadingPairs>
  <TitlesOfParts>
    <vt:vector size="46" baseType="lpstr">
      <vt:lpstr>العمليات</vt:lpstr>
      <vt:lpstr>DYLX</vt:lpstr>
      <vt:lpstr>BEC(1)</vt:lpstr>
      <vt:lpstr>BEC(2)</vt:lpstr>
      <vt:lpstr>BEC(3)</vt:lpstr>
      <vt:lpstr>BEC(4)</vt:lpstr>
      <vt:lpstr>BEC5</vt:lpstr>
      <vt:lpstr>BEC (6)</vt:lpstr>
      <vt:lpstr>BEC (7)</vt:lpstr>
      <vt:lpstr>BEC (1)</vt:lpstr>
      <vt:lpstr>BEC (1-2026)</vt:lpstr>
      <vt:lpstr>BEC (1-2025) (3)</vt:lpstr>
      <vt:lpstr>BEC (1-2025) (2)</vt:lpstr>
      <vt:lpstr>BEC (jan)</vt:lpstr>
      <vt:lpstr>BEC (9)</vt:lpstr>
      <vt:lpstr>Admin 1 (2)</vt:lpstr>
      <vt:lpstr>'Admin 1 (2)'!Print_Area</vt:lpstr>
      <vt:lpstr>'BEC (1)'!Print_Area</vt:lpstr>
      <vt:lpstr>'BEC (1-2025) (2)'!Print_Area</vt:lpstr>
      <vt:lpstr>'BEC (1-2025) (3)'!Print_Area</vt:lpstr>
      <vt:lpstr>'BEC (1-2026)'!Print_Area</vt:lpstr>
      <vt:lpstr>'BEC (6)'!Print_Area</vt:lpstr>
      <vt:lpstr>'BEC (7)'!Print_Area</vt:lpstr>
      <vt:lpstr>'BEC (9)'!Print_Area</vt:lpstr>
      <vt:lpstr>'BEC (jan)'!Print_Area</vt:lpstr>
      <vt:lpstr>'BEC(1)'!Print_Area</vt:lpstr>
      <vt:lpstr>'BEC(2)'!Print_Area</vt:lpstr>
      <vt:lpstr>'BEC(3)'!Print_Area</vt:lpstr>
      <vt:lpstr>'BEC(4)'!Print_Area</vt:lpstr>
      <vt:lpstr>'BEC5'!Print_Area</vt:lpstr>
      <vt:lpstr>DYLX!Print_Area</vt:lpstr>
      <vt:lpstr>العمليات!Print_Area</vt:lpstr>
      <vt:lpstr>'BEC (1)'!Print_Titles</vt:lpstr>
      <vt:lpstr>'BEC (1-2025) (2)'!Print_Titles</vt:lpstr>
      <vt:lpstr>'BEC (1-2025) (3)'!Print_Titles</vt:lpstr>
      <vt:lpstr>'BEC (1-2026)'!Print_Titles</vt:lpstr>
      <vt:lpstr>'BEC (6)'!Print_Titles</vt:lpstr>
      <vt:lpstr>'BEC (7)'!Print_Titles</vt:lpstr>
      <vt:lpstr>'BEC (9)'!Print_Titles</vt:lpstr>
      <vt:lpstr>'BEC (jan)'!Print_Titles</vt:lpstr>
      <vt:lpstr>'BEC(1)'!Print_Titles</vt:lpstr>
      <vt:lpstr>'BEC(2)'!Print_Titles</vt:lpstr>
      <vt:lpstr>'BEC(3)'!Print_Titles</vt:lpstr>
      <vt:lpstr>'BEC(4)'!Print_Titles</vt:lpstr>
      <vt:lpstr>'BEC5'!Print_Titles</vt:lpstr>
      <vt:lpstr>DYLX!Print_Titles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