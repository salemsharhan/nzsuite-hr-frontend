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<sst xmlns="http://schemas.openxmlformats.org/spreadsheetml/2006/main" count="139" uniqueCount="107">
  <si>
    <t>جمعية بصائر الخيرية  Basaier Charity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</si>
  <si>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</si>
  <si>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</si>
  <si>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</si>
  <si>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</si>
  <si>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</si>
  <si>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</si>
  <si>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</si>
  <si>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</si>
  <si>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</si>
  <si>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</si>
  <si>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</si>
  <si>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</si>
  <si>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</si>
  <si>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</si>
  <si>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</si>
  <si>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</si>
  <si>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</si>
  <si>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</si>
  <si>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</si>
  <si>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</si>
  <si>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</si>
  <si>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</si>
  <si>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</si>
  <si>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</si>
  <si>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</si>
  <si>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</si>
  <si>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صلاح عثمان سيد احمد عبدالمطلب</t>
  </si>
  <si>
    <t>15.8.2018</t>
  </si>
  <si>
    <t>Bank transfer</t>
  </si>
  <si>
    <t>*</t>
  </si>
  <si>
    <t>BEC-000189</t>
  </si>
  <si>
    <t xml:space="preserve">السيد على عطالله السيد </t>
  </si>
  <si>
    <t>12.1.2017</t>
  </si>
  <si>
    <t>BEC-000180</t>
  </si>
  <si>
    <t xml:space="preserve">عبد الرحمن عبد الحميد </t>
  </si>
  <si>
    <t>5.12.2019</t>
  </si>
  <si>
    <t>BEC-000182</t>
  </si>
  <si>
    <t>محمود حسن قاسم البعداني</t>
  </si>
  <si>
    <t>21.10.2018</t>
  </si>
  <si>
    <t>BEC-000185</t>
  </si>
  <si>
    <t>سمير حسين محمد جنيدي</t>
  </si>
  <si>
    <t>18.11.2019</t>
  </si>
  <si>
    <t>BEC-000198</t>
  </si>
  <si>
    <t>سهام محمد سعود بتال</t>
  </si>
  <si>
    <t>13.5.2018</t>
  </si>
  <si>
    <t>BEC-000190</t>
  </si>
  <si>
    <t>يحيى محمد هشام لعل محمد</t>
  </si>
  <si>
    <t>1.8.2021</t>
  </si>
  <si>
    <t>BEC-000191</t>
  </si>
  <si>
    <t>فيصل عبد الرزاق بدر فياض</t>
  </si>
  <si>
    <t>20.8.2020</t>
  </si>
  <si>
    <t>BEC-000192</t>
  </si>
  <si>
    <t>نشوى محمد رضا السيد عمر عالية</t>
  </si>
  <si>
    <t>11.1.2021</t>
  </si>
  <si>
    <t>BEC-000641</t>
  </si>
  <si>
    <t xml:space="preserve">إبراهيم غازي النجدي </t>
  </si>
  <si>
    <t>1.7.2021</t>
  </si>
  <si>
    <t>BEC-000114</t>
  </si>
  <si>
    <t>شيخه صباح سلمان شاهر</t>
  </si>
  <si>
    <t>31.10.2021</t>
  </si>
  <si>
    <t>BEC-000115</t>
  </si>
  <si>
    <t>عبير صباح سلمان شاهر</t>
  </si>
  <si>
    <t>13.10.2021</t>
  </si>
  <si>
    <t>BEC-001319</t>
  </si>
  <si>
    <t>نجمه صالح شريعه ماجد</t>
  </si>
  <si>
    <t>1.9.2022</t>
  </si>
  <si>
    <t>BEC-001685</t>
  </si>
  <si>
    <t xml:space="preserve">عمرو أحمد عبد الله عبد الحافظ </t>
  </si>
  <si>
    <t>1.8.2023</t>
  </si>
  <si>
    <t>BEC-001679</t>
  </si>
  <si>
    <t xml:space="preserve">سالم مشعان النايف </t>
  </si>
  <si>
    <t>17.9.2023</t>
  </si>
  <si>
    <t>BEC-001841</t>
  </si>
  <si>
    <t>عبد النور محمد عبد الواحد قاسم</t>
  </si>
  <si>
    <t>25.9.2023</t>
  </si>
  <si>
    <t>BEC-001163</t>
  </si>
  <si>
    <t>محمد سعيد كامل عتمان</t>
  </si>
  <si>
    <t>1.2.2024</t>
  </si>
  <si>
    <t>BEC-001857</t>
  </si>
  <si>
    <t>طارق محمد محمود أدريس</t>
  </si>
  <si>
    <t>25.11.2023</t>
  </si>
  <si>
    <t>BEC-001859</t>
  </si>
  <si>
    <t>وليد خالد عبد النبي محمد</t>
  </si>
  <si>
    <t>2.12.2023</t>
  </si>
  <si>
    <t>BEC-002142</t>
  </si>
  <si>
    <t>محمد محمود احمد ابراهيم</t>
  </si>
  <si>
    <t>13.11.2024</t>
  </si>
  <si>
    <t>BEC-002113</t>
  </si>
  <si>
    <t>أبوبكر سامي علي عبدالصبور</t>
  </si>
  <si>
    <t>16.9.2024</t>
  </si>
  <si>
    <t>VEN-000231</t>
  </si>
  <si>
    <t xml:space="preserve">غدير صباح  سلمان شاهر </t>
  </si>
  <si>
    <t>1.3.2025</t>
  </si>
  <si>
    <t>BEC-000195</t>
  </si>
  <si>
    <t>ايمان احمد ابو المعاطي احمد الشعراوي</t>
  </si>
  <si>
    <t>16.9.2012</t>
  </si>
  <si>
    <t>BEC-000196</t>
  </si>
  <si>
    <t>أسماء عبد النبي ابراهيم السيد</t>
  </si>
  <si>
    <t>26.1.2012</t>
  </si>
  <si>
    <t>BEC-000000</t>
  </si>
  <si>
    <t>عمران احمد الناطور</t>
  </si>
  <si>
    <t>اقامة فقط</t>
  </si>
  <si>
    <t/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</si>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</sst>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7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410</v>
      </c>
      <c r="F6" s="20">
        <v>26</v>
      </c>
      <c r="G6" s="20">
        <v>0</v>
      </c>
      <c r="H6" s="21">
        <f>E6/26*F6</f>
        <v>410</v>
      </c>
      <c r="I6" s="21">
        <f>E6/26*G6</f>
        <v>0</v>
      </c>
      <c r="J6" s="21">
        <v>0</v>
      </c>
      <c r="K6" s="21">
        <v>0</v>
      </c>
      <c r="L6" s="21">
        <v>0</v>
      </c>
      <c r="M6" s="21">
        <f>H6+I6+J6+K6+L6</f>
        <v>410</v>
      </c>
      <c r="N6" s="21">
        <v>0</v>
      </c>
      <c r="O6" s="21">
        <v>0</v>
      </c>
      <c r="P6" s="21">
        <v>0</v>
      </c>
      <c r="Q6" s="22">
        <v>0</v>
      </c>
      <c r="R6" s="23">
        <f>M6-N6-O6-P6-Q6</f>
        <v>410</v>
      </c>
      <c r="S6" s="24">
        <f>R6+U6</f>
        <v>800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255</v>
      </c>
      <c r="F7" s="20">
        <v>26</v>
      </c>
      <c r="G7" s="20">
        <v>0</v>
      </c>
      <c r="H7" s="21">
        <f t="shared" ref="H7:H28" si="0">E7/26*F7</f>
        <v>255.00000000000003</v>
      </c>
      <c r="I7" s="21">
        <f t="shared" ref="I7:I28" si="1">E7/26*G7</f>
        <v>0</v>
      </c>
      <c r="J7" s="21">
        <v>0</v>
      </c>
      <c r="K7" s="21">
        <v>0</v>
      </c>
      <c r="L7" s="21">
        <v>0</v>
      </c>
      <c r="M7" s="21">
        <f t="shared" ref="M7:M28" si="2">H7+I7+J7+K7+L7</f>
        <v>255.00000000000003</v>
      </c>
      <c r="N7" s="21">
        <v>0</v>
      </c>
      <c r="O7" s="21">
        <v>0</v>
      </c>
      <c r="P7" s="21">
        <v>0</v>
      </c>
      <c r="Q7" s="22">
        <v>0</v>
      </c>
      <c r="R7" s="23">
        <f t="shared" ref="R7:R28" si="3">M7-N7-O7-P7-Q7</f>
        <v>255.00000000000003</v>
      </c>
      <c r="S7" s="23">
        <f t="shared" ref="S7:S20" si="4">R7</f>
        <v>255.00000000000003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150</v>
      </c>
      <c r="F8" s="20">
        <v>26</v>
      </c>
      <c r="G8" s="20">
        <v>0</v>
      </c>
      <c r="H8" s="21">
        <f t="shared" si="0"/>
        <v>150</v>
      </c>
      <c r="I8" s="21">
        <f t="shared" si="1"/>
        <v>0</v>
      </c>
      <c r="J8" s="21">
        <v>0</v>
      </c>
      <c r="K8" s="21">
        <v>0</v>
      </c>
      <c r="L8" s="21">
        <v>0</v>
      </c>
      <c r="M8" s="21">
        <f t="shared" si="2"/>
        <v>150</v>
      </c>
      <c r="N8" s="21">
        <v>0</v>
      </c>
      <c r="O8" s="21">
        <v>0</v>
      </c>
      <c r="P8" s="21">
        <v>0</v>
      </c>
      <c r="Q8" s="22">
        <v>0</v>
      </c>
      <c r="R8" s="23">
        <f t="shared" si="3"/>
        <v>150</v>
      </c>
      <c r="S8" s="23">
        <f t="shared" si="4"/>
        <v>150</v>
      </c>
      <c r="T8" s="23" t="s">
        <v>29</v>
      </c>
      <c r="U8" s="23">
        <v>0</v>
      </c>
      <c r="V8" s="25"/>
    </row>
    <row r="9" ht="45.65" customHeight="1" spans="1:22" x14ac:dyDescent="0.25">
      <c r="A9" s="15">
        <v>4</v>
      </c>
      <c r="B9" s="16" t="s">
        <v>37</v>
      </c>
      <c r="C9" s="17" t="s">
        <v>38</v>
      </c>
      <c r="D9" s="18" t="s">
        <v>39</v>
      </c>
      <c r="E9" s="16">
        <v>430</v>
      </c>
      <c r="F9" s="20">
        <v>25</v>
      </c>
      <c r="G9" s="20">
        <v>1</v>
      </c>
      <c r="H9" s="21">
        <f t="shared" si="0"/>
        <v>413.4615384615385</v>
      </c>
      <c r="I9" s="21">
        <f t="shared" si="1"/>
        <v>16.53846153846154</v>
      </c>
      <c r="J9" s="21">
        <v>0</v>
      </c>
      <c r="K9" s="21">
        <v>0</v>
      </c>
      <c r="L9" s="21">
        <v>0</v>
      </c>
      <c r="M9" s="21">
        <f t="shared" si="2"/>
        <v>430.00000000000006</v>
      </c>
      <c r="N9" s="21">
        <v>0</v>
      </c>
      <c r="O9" s="21">
        <v>0</v>
      </c>
      <c r="P9" s="21">
        <v>0</v>
      </c>
      <c r="Q9" s="22">
        <v>0</v>
      </c>
      <c r="R9" s="23">
        <f t="shared" si="3"/>
        <v>430.00000000000006</v>
      </c>
      <c r="S9" s="23">
        <f t="shared" si="4"/>
        <v>430.00000000000006</v>
      </c>
      <c r="T9" s="23" t="s">
        <v>29</v>
      </c>
      <c r="U9" s="23">
        <v>0</v>
      </c>
      <c r="V9" s="25"/>
    </row>
    <row r="10" ht="45.65" customHeight="1" spans="1:22" x14ac:dyDescent="0.25">
      <c r="A10" s="15">
        <v>5</v>
      </c>
      <c r="B10" s="16" t="s">
        <v>40</v>
      </c>
      <c r="C10" s="17" t="s">
        <v>41</v>
      </c>
      <c r="D10" s="18" t="s">
        <v>42</v>
      </c>
      <c r="E10" s="16">
        <v>330</v>
      </c>
      <c r="F10" s="20">
        <v>26</v>
      </c>
      <c r="G10" s="20">
        <v>0</v>
      </c>
      <c r="H10" s="21">
        <f t="shared" si="0"/>
        <v>330</v>
      </c>
      <c r="I10" s="21">
        <f t="shared" si="1"/>
        <v>0</v>
      </c>
      <c r="J10" s="21">
        <v>0</v>
      </c>
      <c r="K10" s="21">
        <v>0</v>
      </c>
      <c r="L10" s="21">
        <v>0</v>
      </c>
      <c r="M10" s="21">
        <f t="shared" si="2"/>
        <v>330</v>
      </c>
      <c r="N10" s="21">
        <v>0</v>
      </c>
      <c r="O10" s="21">
        <v>0</v>
      </c>
      <c r="P10" s="21">
        <v>0</v>
      </c>
      <c r="Q10" s="22">
        <v>0</v>
      </c>
      <c r="R10" s="23">
        <f t="shared" si="3"/>
        <v>330</v>
      </c>
      <c r="S10" s="23">
        <f t="shared" si="4"/>
        <v>330</v>
      </c>
      <c r="T10" s="23" t="s">
        <v>29</v>
      </c>
      <c r="U10" s="23">
        <v>0</v>
      </c>
      <c r="V10" s="25"/>
    </row>
    <row r="11" ht="45.65" customHeight="1" spans="1:22" x14ac:dyDescent="0.25">
      <c r="A11" s="15">
        <v>6</v>
      </c>
      <c r="B11" s="16" t="s">
        <v>43</v>
      </c>
      <c r="C11" s="26" t="s">
        <v>44</v>
      </c>
      <c r="D11" s="18" t="s">
        <v>45</v>
      </c>
      <c r="E11" s="16">
        <v>200</v>
      </c>
      <c r="F11" s="20">
        <v>26</v>
      </c>
      <c r="G11" s="20">
        <v>0</v>
      </c>
      <c r="H11" s="21">
        <f t="shared" si="0"/>
        <v>200</v>
      </c>
      <c r="I11" s="21">
        <f t="shared" si="1"/>
        <v>0</v>
      </c>
      <c r="J11" s="21">
        <v>0</v>
      </c>
      <c r="K11" s="21">
        <v>0</v>
      </c>
      <c r="L11" s="21">
        <v>0</v>
      </c>
      <c r="M11" s="21">
        <f t="shared" si="2"/>
        <v>200</v>
      </c>
      <c r="N11" s="21">
        <v>0</v>
      </c>
      <c r="O11" s="21">
        <v>0</v>
      </c>
      <c r="P11" s="21">
        <v>0</v>
      </c>
      <c r="Q11" s="22">
        <v>0</v>
      </c>
      <c r="R11" s="23">
        <f t="shared" si="3"/>
        <v>200</v>
      </c>
      <c r="S11" s="23">
        <f t="shared" si="4"/>
        <v>200</v>
      </c>
      <c r="T11" s="23" t="s">
        <v>29</v>
      </c>
      <c r="U11" s="23">
        <v>0</v>
      </c>
      <c r="V11" s="25"/>
    </row>
    <row r="12" ht="45.65" customHeight="1" spans="1:22" x14ac:dyDescent="0.25">
      <c r="A12" s="15">
        <v>7</v>
      </c>
      <c r="B12" s="16" t="s">
        <v>46</v>
      </c>
      <c r="C12" s="26" t="s">
        <v>47</v>
      </c>
      <c r="D12" s="18" t="s">
        <v>48</v>
      </c>
      <c r="E12" s="16">
        <v>430</v>
      </c>
      <c r="F12" s="20">
        <v>26</v>
      </c>
      <c r="G12" s="20">
        <v>0</v>
      </c>
      <c r="H12" s="21">
        <f t="shared" si="0"/>
        <v>430.00000000000006</v>
      </c>
      <c r="I12" s="21">
        <f t="shared" si="1"/>
        <v>0</v>
      </c>
      <c r="J12" s="21">
        <v>0</v>
      </c>
      <c r="K12" s="21">
        <v>0</v>
      </c>
      <c r="L12" s="21">
        <v>0</v>
      </c>
      <c r="M12" s="21">
        <f t="shared" si="2"/>
        <v>430.00000000000006</v>
      </c>
      <c r="N12" s="21">
        <v>0</v>
      </c>
      <c r="O12" s="21">
        <v>0</v>
      </c>
      <c r="P12" s="21">
        <v>0</v>
      </c>
      <c r="Q12" s="22">
        <v>0</v>
      </c>
      <c r="R12" s="23">
        <f t="shared" si="3"/>
        <v>430.00000000000006</v>
      </c>
      <c r="S12" s="23">
        <f t="shared" si="4"/>
        <v>430.00000000000006</v>
      </c>
      <c r="T12" s="23" t="s">
        <v>29</v>
      </c>
      <c r="U12" s="23">
        <v>0</v>
      </c>
      <c r="V12" s="25"/>
    </row>
    <row r="13" ht="45.65" customHeight="1" spans="1:22" x14ac:dyDescent="0.25">
      <c r="A13" s="15">
        <v>8</v>
      </c>
      <c r="B13" s="16" t="s">
        <v>49</v>
      </c>
      <c r="C13" s="26" t="s">
        <v>50</v>
      </c>
      <c r="D13" s="18" t="s">
        <v>51</v>
      </c>
      <c r="E13" s="16">
        <v>330</v>
      </c>
      <c r="F13" s="20">
        <v>26</v>
      </c>
      <c r="G13" s="20">
        <v>0</v>
      </c>
      <c r="H13" s="21">
        <f t="shared" si="0"/>
        <v>330</v>
      </c>
      <c r="I13" s="21">
        <f t="shared" si="1"/>
        <v>0</v>
      </c>
      <c r="J13" s="21">
        <v>0</v>
      </c>
      <c r="K13" s="21">
        <v>0</v>
      </c>
      <c r="L13" s="21">
        <v>0</v>
      </c>
      <c r="M13" s="21">
        <v>330</v>
      </c>
      <c r="N13" s="21">
        <v>0</v>
      </c>
      <c r="O13" s="21">
        <v>0</v>
      </c>
      <c r="P13" s="21">
        <v>0</v>
      </c>
      <c r="Q13" s="22">
        <v>0</v>
      </c>
      <c r="R13" s="23">
        <f t="shared" si="3"/>
        <v>330</v>
      </c>
      <c r="S13" s="23">
        <f t="shared" si="4"/>
        <v>330</v>
      </c>
      <c r="T13" s="23" t="s">
        <v>29</v>
      </c>
      <c r="U13" s="23">
        <v>0</v>
      </c>
      <c r="V13" s="25"/>
    </row>
    <row r="14" ht="45.65" customHeight="1" spans="1:22" x14ac:dyDescent="0.25">
      <c r="A14" s="15">
        <v>9</v>
      </c>
      <c r="B14" s="16" t="s">
        <v>52</v>
      </c>
      <c r="C14" s="26" t="s">
        <v>53</v>
      </c>
      <c r="D14" s="18" t="s">
        <v>54</v>
      </c>
      <c r="E14" s="16">
        <v>300</v>
      </c>
      <c r="F14" s="20">
        <v>26</v>
      </c>
      <c r="G14" s="20">
        <v>0</v>
      </c>
      <c r="H14" s="21">
        <f t="shared" si="0"/>
        <v>300</v>
      </c>
      <c r="I14" s="21">
        <f t="shared" si="1"/>
        <v>0</v>
      </c>
      <c r="J14" s="21">
        <v>0</v>
      </c>
      <c r="K14" s="21">
        <v>0</v>
      </c>
      <c r="L14" s="27">
        <v>300</v>
      </c>
      <c r="M14" s="21">
        <f t="shared" si="2"/>
        <v>600</v>
      </c>
      <c r="N14" s="21">
        <v>0</v>
      </c>
      <c r="O14" s="21">
        <v>0</v>
      </c>
      <c r="P14" s="21">
        <v>0</v>
      </c>
      <c r="Q14" s="22">
        <v>0</v>
      </c>
      <c r="R14" s="23">
        <f t="shared" si="3"/>
        <v>600</v>
      </c>
      <c r="S14" s="23">
        <f t="shared" si="4"/>
        <v>600</v>
      </c>
      <c r="T14" s="23" t="s">
        <v>29</v>
      </c>
      <c r="U14" s="23">
        <v>0</v>
      </c>
      <c r="V14" s="25"/>
    </row>
    <row r="15" ht="45.65" customHeight="1" spans="1:22" x14ac:dyDescent="0.25">
      <c r="A15" s="15">
        <v>10</v>
      </c>
      <c r="B15" s="16" t="s">
        <v>55</v>
      </c>
      <c r="C15" s="26" t="s">
        <v>56</v>
      </c>
      <c r="D15" s="18" t="s">
        <v>57</v>
      </c>
      <c r="E15" s="16">
        <v>450</v>
      </c>
      <c r="F15" s="20">
        <v>25</v>
      </c>
      <c r="G15" s="20">
        <v>1</v>
      </c>
      <c r="H15" s="21">
        <f t="shared" si="0"/>
        <v>432.6923076923077</v>
      </c>
      <c r="I15" s="21">
        <f t="shared" si="1"/>
        <v>17.307692307692307</v>
      </c>
      <c r="J15" s="21">
        <v>0</v>
      </c>
      <c r="K15" s="21">
        <v>0</v>
      </c>
      <c r="L15" s="21">
        <v>0</v>
      </c>
      <c r="M15" s="21">
        <f t="shared" si="2"/>
        <v>450</v>
      </c>
      <c r="N15" s="21">
        <v>0</v>
      </c>
      <c r="O15" s="21">
        <v>0</v>
      </c>
      <c r="P15" s="21">
        <v>0</v>
      </c>
      <c r="Q15" s="22">
        <v>0</v>
      </c>
      <c r="R15" s="23">
        <f t="shared" si="3"/>
        <v>450</v>
      </c>
      <c r="S15" s="23">
        <f t="shared" si="4"/>
        <v>450</v>
      </c>
      <c r="T15" s="23" t="s">
        <v>29</v>
      </c>
      <c r="U15" s="23">
        <v>0</v>
      </c>
      <c r="V15" s="25"/>
    </row>
    <row r="16" ht="45.65" customHeight="1" spans="1:22" x14ac:dyDescent="0.25">
      <c r="A16" s="15">
        <v>11</v>
      </c>
      <c r="B16" s="16" t="s">
        <v>58</v>
      </c>
      <c r="C16" s="26" t="s">
        <v>59</v>
      </c>
      <c r="D16" s="18" t="s">
        <v>60</v>
      </c>
      <c r="E16" s="16">
        <v>170</v>
      </c>
      <c r="F16" s="20">
        <v>26</v>
      </c>
      <c r="G16" s="20">
        <v>0</v>
      </c>
      <c r="H16" s="21">
        <f t="shared" si="0"/>
        <v>170</v>
      </c>
      <c r="I16" s="21">
        <f t="shared" si="1"/>
        <v>0</v>
      </c>
      <c r="J16" s="21">
        <v>0</v>
      </c>
      <c r="K16" s="21">
        <v>0</v>
      </c>
      <c r="L16" s="21">
        <v>0</v>
      </c>
      <c r="M16" s="21">
        <f t="shared" si="2"/>
        <v>170</v>
      </c>
      <c r="N16" s="21">
        <v>0</v>
      </c>
      <c r="O16" s="21">
        <v>0</v>
      </c>
      <c r="P16" s="21">
        <v>0</v>
      </c>
      <c r="Q16" s="22">
        <v>0</v>
      </c>
      <c r="R16" s="23">
        <f t="shared" si="3"/>
        <v>170</v>
      </c>
      <c r="S16" s="23">
        <f t="shared" si="4"/>
        <v>170</v>
      </c>
      <c r="T16" s="23" t="s">
        <v>29</v>
      </c>
      <c r="U16" s="23">
        <v>0</v>
      </c>
      <c r="V16" s="25"/>
    </row>
    <row r="17" ht="45.65" customHeight="1" spans="1:22" x14ac:dyDescent="0.25">
      <c r="A17" s="15">
        <v>12</v>
      </c>
      <c r="B17" s="16" t="s">
        <v>61</v>
      </c>
      <c r="C17" s="26" t="s">
        <v>62</v>
      </c>
      <c r="D17" s="18" t="s">
        <v>63</v>
      </c>
      <c r="E17" s="16">
        <v>150</v>
      </c>
      <c r="F17" s="20">
        <v>26</v>
      </c>
      <c r="G17" s="20">
        <v>0</v>
      </c>
      <c r="H17" s="21">
        <f t="shared" si="0"/>
        <v>150</v>
      </c>
      <c r="I17" s="21">
        <f t="shared" si="1"/>
        <v>0</v>
      </c>
      <c r="J17" s="21">
        <v>0</v>
      </c>
      <c r="K17" s="21">
        <v>0</v>
      </c>
      <c r="L17" s="21">
        <v>0</v>
      </c>
      <c r="M17" s="21">
        <f t="shared" si="2"/>
        <v>150</v>
      </c>
      <c r="N17" s="21">
        <v>0</v>
      </c>
      <c r="O17" s="21">
        <v>0</v>
      </c>
      <c r="P17" s="21">
        <v>0</v>
      </c>
      <c r="Q17" s="22">
        <v>0</v>
      </c>
      <c r="R17" s="23">
        <f t="shared" si="3"/>
        <v>150</v>
      </c>
      <c r="S17" s="23">
        <f t="shared" si="4"/>
        <v>150</v>
      </c>
      <c r="T17" s="23" t="s">
        <v>29</v>
      </c>
      <c r="U17" s="23">
        <v>0</v>
      </c>
      <c r="V17" s="25"/>
    </row>
    <row r="18" ht="45.65" customHeight="1" spans="1:22" x14ac:dyDescent="0.25">
      <c r="A18" s="15">
        <v>13</v>
      </c>
      <c r="B18" s="16" t="s">
        <v>64</v>
      </c>
      <c r="C18" s="26" t="s">
        <v>65</v>
      </c>
      <c r="D18" s="18" t="s">
        <v>66</v>
      </c>
      <c r="E18" s="16">
        <v>150</v>
      </c>
      <c r="F18" s="20">
        <v>26</v>
      </c>
      <c r="G18" s="20">
        <v>0</v>
      </c>
      <c r="H18" s="21">
        <f t="shared" si="0"/>
        <v>150</v>
      </c>
      <c r="I18" s="21">
        <f t="shared" si="1"/>
        <v>0</v>
      </c>
      <c r="J18" s="21">
        <v>0</v>
      </c>
      <c r="K18" s="21">
        <v>0</v>
      </c>
      <c r="L18" s="21">
        <v>0</v>
      </c>
      <c r="M18" s="21">
        <f t="shared" si="2"/>
        <v>150</v>
      </c>
      <c r="N18" s="21">
        <v>0</v>
      </c>
      <c r="O18" s="21">
        <v>0</v>
      </c>
      <c r="P18" s="21">
        <v>0</v>
      </c>
      <c r="Q18" s="22">
        <v>0</v>
      </c>
      <c r="R18" s="23">
        <f t="shared" si="3"/>
        <v>150</v>
      </c>
      <c r="S18" s="23">
        <f t="shared" si="4"/>
        <v>150</v>
      </c>
      <c r="T18" s="23" t="s">
        <v>29</v>
      </c>
      <c r="U18" s="23">
        <v>0</v>
      </c>
      <c r="V18" s="25"/>
    </row>
    <row r="19" ht="45.65" customHeight="1" spans="1:22" x14ac:dyDescent="0.25">
      <c r="A19" s="15">
        <v>14</v>
      </c>
      <c r="B19" s="16" t="s">
        <v>67</v>
      </c>
      <c r="C19" s="17" t="s">
        <v>68</v>
      </c>
      <c r="D19" s="18" t="s">
        <v>69</v>
      </c>
      <c r="E19" s="16">
        <v>270</v>
      </c>
      <c r="F19" s="20">
        <v>26</v>
      </c>
      <c r="G19" s="20">
        <v>0</v>
      </c>
      <c r="H19" s="21">
        <f t="shared" si="0"/>
        <v>270</v>
      </c>
      <c r="I19" s="21">
        <f t="shared" si="1"/>
        <v>0</v>
      </c>
      <c r="J19" s="21">
        <v>0</v>
      </c>
      <c r="K19" s="21">
        <v>0</v>
      </c>
      <c r="L19" s="21">
        <v>0</v>
      </c>
      <c r="M19" s="21">
        <f t="shared" si="2"/>
        <v>270</v>
      </c>
      <c r="N19" s="21">
        <v>0</v>
      </c>
      <c r="O19" s="21">
        <v>0</v>
      </c>
      <c r="P19" s="21">
        <v>0</v>
      </c>
      <c r="Q19" s="22">
        <v>0</v>
      </c>
      <c r="R19" s="23">
        <f t="shared" si="3"/>
        <v>270</v>
      </c>
      <c r="S19" s="23">
        <f t="shared" si="4"/>
        <v>270</v>
      </c>
      <c r="T19" s="23" t="s">
        <v>29</v>
      </c>
      <c r="U19" s="23">
        <v>0</v>
      </c>
      <c r="V19" s="25"/>
    </row>
    <row r="20" ht="45.65" customHeight="1" spans="1:22" x14ac:dyDescent="0.25">
      <c r="A20" s="15">
        <v>15</v>
      </c>
      <c r="B20" s="16" t="s">
        <v>70</v>
      </c>
      <c r="C20" s="17" t="s">
        <v>71</v>
      </c>
      <c r="D20" s="18" t="s">
        <v>72</v>
      </c>
      <c r="E20" s="16">
        <v>280</v>
      </c>
      <c r="F20" s="20">
        <v>26</v>
      </c>
      <c r="G20" s="20">
        <v>0</v>
      </c>
      <c r="H20" s="21">
        <f t="shared" si="0"/>
        <v>280</v>
      </c>
      <c r="I20" s="21">
        <f t="shared" si="1"/>
        <v>0</v>
      </c>
      <c r="J20" s="21">
        <v>0</v>
      </c>
      <c r="K20" s="21">
        <v>0</v>
      </c>
      <c r="L20" s="21">
        <v>0</v>
      </c>
      <c r="M20" s="21">
        <f t="shared" si="2"/>
        <v>280</v>
      </c>
      <c r="N20" s="21">
        <v>0</v>
      </c>
      <c r="O20" s="21">
        <v>0</v>
      </c>
      <c r="P20" s="21">
        <v>0</v>
      </c>
      <c r="Q20" s="22">
        <v>0</v>
      </c>
      <c r="R20" s="23">
        <f t="shared" si="3"/>
        <v>280</v>
      </c>
      <c r="S20" s="23">
        <f t="shared" si="4"/>
        <v>280</v>
      </c>
      <c r="T20" s="23" t="s">
        <v>29</v>
      </c>
      <c r="U20" s="23">
        <v>0</v>
      </c>
      <c r="V20" s="25"/>
    </row>
    <row r="21" ht="45.65" customHeight="1" spans="1:22" x14ac:dyDescent="0.25">
      <c r="A21" s="15">
        <v>16</v>
      </c>
      <c r="B21" s="16" t="s">
        <v>73</v>
      </c>
      <c r="C21" s="17" t="s">
        <v>74</v>
      </c>
      <c r="D21" s="18" t="s">
        <v>75</v>
      </c>
      <c r="E21" s="16">
        <v>400</v>
      </c>
      <c r="F21" s="20">
        <v>26</v>
      </c>
      <c r="G21" s="20">
        <v>0</v>
      </c>
      <c r="H21" s="21">
        <f t="shared" si="0"/>
        <v>400</v>
      </c>
      <c r="I21" s="21">
        <f t="shared" si="1"/>
        <v>0</v>
      </c>
      <c r="J21" s="21">
        <v>0</v>
      </c>
      <c r="K21" s="21">
        <v>0</v>
      </c>
      <c r="L21" s="21">
        <v>0</v>
      </c>
      <c r="M21" s="21">
        <f t="shared" si="2"/>
        <v>400</v>
      </c>
      <c r="N21" s="21">
        <v>0</v>
      </c>
      <c r="O21" s="21">
        <v>0</v>
      </c>
      <c r="P21" s="21">
        <v>20</v>
      </c>
      <c r="Q21" s="22">
        <v>0</v>
      </c>
      <c r="R21" s="23">
        <f t="shared" si="3"/>
        <v>380</v>
      </c>
      <c r="S21" s="23">
        <f>R21+U21</f>
        <v>780</v>
      </c>
      <c r="T21" s="23" t="s">
        <v>29</v>
      </c>
      <c r="U21" s="23">
        <v>400</v>
      </c>
      <c r="V21" s="25" t="s">
        <v>30</v>
      </c>
    </row>
    <row r="22" ht="45.65" customHeight="1" spans="1:22" x14ac:dyDescent="0.25">
      <c r="A22" s="15">
        <v>17</v>
      </c>
      <c r="B22" s="16" t="s">
        <v>76</v>
      </c>
      <c r="C22" s="28" t="s">
        <v>77</v>
      </c>
      <c r="D22" s="18" t="s">
        <v>78</v>
      </c>
      <c r="E22" s="16">
        <v>450</v>
      </c>
      <c r="F22" s="29">
        <v>-1</v>
      </c>
      <c r="G22" s="20">
        <v>35</v>
      </c>
      <c r="H22" s="21">
        <f t="shared" ref="H22:H23" si="5">E22/26*F22</f>
        <v>-17.307692307692307</v>
      </c>
      <c r="I22" s="21">
        <f t="shared" ref="I22:I23" si="6">E22/26*G22</f>
        <v>605.7692307692307</v>
      </c>
      <c r="J22" s="22">
        <v>0</v>
      </c>
      <c r="K22" s="22">
        <v>0</v>
      </c>
      <c r="L22" s="22">
        <v>0</v>
      </c>
      <c r="M22" s="21">
        <f t="shared" ref="M22:M23" si="7">H22+I22+J22+K22+L22</f>
        <v>588.4615384615385</v>
      </c>
      <c r="N22" s="22">
        <v>0</v>
      </c>
      <c r="O22" s="21">
        <v>0</v>
      </c>
      <c r="P22" s="22">
        <v>0</v>
      </c>
      <c r="Q22" s="22">
        <v>0</v>
      </c>
      <c r="R22" s="23">
        <f t="shared" ref="R22:R23" si="8">M22-N22-O22-P22-Q22</f>
        <v>588.4615384615385</v>
      </c>
      <c r="S22" s="24">
        <f>R22</f>
        <v>588.4615384615385</v>
      </c>
      <c r="T22" s="23" t="s">
        <v>29</v>
      </c>
      <c r="U22" s="23">
        <v>0</v>
      </c>
      <c r="V22" s="30" t="s">
        <v>30</v>
      </c>
    </row>
    <row r="23" ht="45.65" customHeight="1" spans="1:22" x14ac:dyDescent="0.25">
      <c r="A23" s="15">
        <v>18</v>
      </c>
      <c r="B23" s="16" t="s">
        <v>79</v>
      </c>
      <c r="C23" s="26" t="s">
        <v>80</v>
      </c>
      <c r="D23" s="18" t="s">
        <v>81</v>
      </c>
      <c r="E23" s="16">
        <v>550</v>
      </c>
      <c r="F23" s="20">
        <v>26</v>
      </c>
      <c r="G23" s="20">
        <v>0</v>
      </c>
      <c r="H23" s="21">
        <f t="shared" si="5"/>
        <v>550</v>
      </c>
      <c r="I23" s="21">
        <f t="shared" si="6"/>
        <v>0</v>
      </c>
      <c r="J23" s="21">
        <v>0</v>
      </c>
      <c r="K23" s="21">
        <v>0</v>
      </c>
      <c r="L23" s="21">
        <v>0</v>
      </c>
      <c r="M23" s="21">
        <f t="shared" si="7"/>
        <v>550</v>
      </c>
      <c r="N23" s="21">
        <v>0</v>
      </c>
      <c r="O23" s="21">
        <v>0</v>
      </c>
      <c r="P23" s="21">
        <v>0</v>
      </c>
      <c r="Q23" s="22">
        <v>0</v>
      </c>
      <c r="R23" s="23">
        <f t="shared" si="8"/>
        <v>550</v>
      </c>
      <c r="S23" s="23">
        <f t="shared" ref="S23" si="9">R23</f>
        <v>550</v>
      </c>
      <c r="T23" s="23" t="s">
        <v>29</v>
      </c>
      <c r="U23" s="23">
        <v>0</v>
      </c>
      <c r="V23" s="25"/>
    </row>
    <row r="24" ht="45.65" customHeight="1" spans="1:22" x14ac:dyDescent="0.25">
      <c r="A24" s="15">
        <v>19</v>
      </c>
      <c r="B24" s="16" t="s">
        <v>82</v>
      </c>
      <c r="C24" s="26" t="s">
        <v>83</v>
      </c>
      <c r="D24" s="18" t="s">
        <v>84</v>
      </c>
      <c r="E24" s="16">
        <v>450</v>
      </c>
      <c r="F24" s="20">
        <v>26</v>
      </c>
      <c r="G24" s="20">
        <v>0</v>
      </c>
      <c r="H24" s="21">
        <f t="shared" si="0"/>
        <v>450</v>
      </c>
      <c r="I24" s="21">
        <f t="shared" si="1"/>
        <v>0</v>
      </c>
      <c r="J24" s="21">
        <v>0</v>
      </c>
      <c r="K24" s="21">
        <v>0</v>
      </c>
      <c r="L24" s="21">
        <v>0</v>
      </c>
      <c r="M24" s="21">
        <f t="shared" si="2"/>
        <v>450</v>
      </c>
      <c r="N24" s="21">
        <v>0</v>
      </c>
      <c r="O24" s="21">
        <v>5.769</v>
      </c>
      <c r="P24" s="21">
        <v>0</v>
      </c>
      <c r="Q24" s="22">
        <v>0</v>
      </c>
      <c r="R24" s="23">
        <f t="shared" si="3"/>
        <v>444.231</v>
      </c>
      <c r="S24" s="23">
        <f t="shared" ref="S24:S26" si="10">R24</f>
        <v>444.231</v>
      </c>
      <c r="T24" s="23" t="s">
        <v>29</v>
      </c>
      <c r="U24" s="23">
        <v>0</v>
      </c>
      <c r="V24" s="25"/>
    </row>
    <row r="25" ht="45.65" customHeight="1" spans="1:22" x14ac:dyDescent="0.25">
      <c r="A25" s="15">
        <v>20</v>
      </c>
      <c r="B25" s="31" t="s">
        <v>85</v>
      </c>
      <c r="C25" s="32" t="s">
        <v>86</v>
      </c>
      <c r="D25" s="18" t="s">
        <v>87</v>
      </c>
      <c r="E25" s="31">
        <v>250</v>
      </c>
      <c r="F25" s="33">
        <v>19</v>
      </c>
      <c r="G25" s="33">
        <v>0</v>
      </c>
      <c r="H25" s="34">
        <f t="shared" si="0"/>
        <v>182.69230769230768</v>
      </c>
      <c r="I25" s="34">
        <f t="shared" si="1"/>
        <v>0</v>
      </c>
      <c r="J25" s="34">
        <v>0</v>
      </c>
      <c r="K25" s="34">
        <v>0</v>
      </c>
      <c r="L25" s="34">
        <v>0</v>
      </c>
      <c r="M25" s="34">
        <f t="shared" si="2"/>
        <v>182.69230769230768</v>
      </c>
      <c r="N25" s="34">
        <v>0</v>
      </c>
      <c r="O25" s="34">
        <v>0</v>
      </c>
      <c r="P25" s="34">
        <v>0</v>
      </c>
      <c r="Q25" s="35">
        <v>0</v>
      </c>
      <c r="R25" s="36">
        <f t="shared" si="3"/>
        <v>182.69230769230768</v>
      </c>
      <c r="S25" s="36">
        <f t="shared" si="10"/>
        <v>182.69230769230768</v>
      </c>
      <c r="T25" s="36" t="s">
        <v>29</v>
      </c>
      <c r="U25" s="36">
        <f t="shared" ref="U25" si="11">S25-R25</f>
        <v>0</v>
      </c>
      <c r="V25" s="25"/>
    </row>
    <row r="26" ht="45.65" customHeight="1" spans="1:22" x14ac:dyDescent="0.25">
      <c r="A26" s="15">
        <v>21</v>
      </c>
      <c r="B26" s="16" t="s">
        <v>88</v>
      </c>
      <c r="C26" s="37" t="s">
        <v>89</v>
      </c>
      <c r="D26" s="18" t="s">
        <v>90</v>
      </c>
      <c r="E26" s="38">
        <v>270</v>
      </c>
      <c r="F26" s="20">
        <v>26</v>
      </c>
      <c r="G26" s="20">
        <v>0</v>
      </c>
      <c r="H26" s="21">
        <f t="shared" si="0"/>
        <v>270</v>
      </c>
      <c r="I26" s="21">
        <f t="shared" si="1"/>
        <v>0</v>
      </c>
      <c r="J26" s="21">
        <v>0</v>
      </c>
      <c r="K26" s="21">
        <v>0</v>
      </c>
      <c r="L26" s="21">
        <v>0</v>
      </c>
      <c r="M26" s="21">
        <f t="shared" si="2"/>
        <v>270</v>
      </c>
      <c r="N26" s="21">
        <v>0</v>
      </c>
      <c r="O26" s="21">
        <v>0</v>
      </c>
      <c r="P26" s="21">
        <v>0</v>
      </c>
      <c r="Q26" s="22">
        <v>0</v>
      </c>
      <c r="R26" s="23">
        <f t="shared" si="3"/>
        <v>270</v>
      </c>
      <c r="S26" s="23">
        <f t="shared" si="10"/>
        <v>270</v>
      </c>
      <c r="T26" s="23" t="s">
        <v>29</v>
      </c>
      <c r="U26" s="23">
        <v>0</v>
      </c>
      <c r="V26" s="25"/>
    </row>
    <row r="27" ht="45.65" customHeight="1" spans="1:22" x14ac:dyDescent="0.25">
      <c r="A27" s="15">
        <v>22</v>
      </c>
      <c r="B27" s="16" t="s">
        <v>91</v>
      </c>
      <c r="C27" s="17" t="s">
        <v>92</v>
      </c>
      <c r="D27" s="18" t="s">
        <v>93</v>
      </c>
      <c r="E27" s="16">
        <v>100</v>
      </c>
      <c r="F27" s="20">
        <v>26</v>
      </c>
      <c r="G27" s="20">
        <v>0</v>
      </c>
      <c r="H27" s="21">
        <f t="shared" ref="H27" si="12">E27/26*F27</f>
        <v>100</v>
      </c>
      <c r="I27" s="21">
        <f t="shared" ref="I27" si="13">E27/26*G27</f>
        <v>0</v>
      </c>
      <c r="J27" s="21">
        <v>0</v>
      </c>
      <c r="K27" s="21">
        <v>0</v>
      </c>
      <c r="L27" s="21">
        <v>0</v>
      </c>
      <c r="M27" s="21">
        <f t="shared" ref="M27" si="14">H27+I27+J27+K27+L27</f>
        <v>100</v>
      </c>
      <c r="N27" s="21">
        <v>0</v>
      </c>
      <c r="O27" s="21">
        <v>0</v>
      </c>
      <c r="P27" s="21">
        <v>0</v>
      </c>
      <c r="Q27" s="22">
        <v>0</v>
      </c>
      <c r="R27" s="23">
        <f t="shared" ref="R27" si="15">M27-N27-O27-P27-Q27</f>
        <v>100</v>
      </c>
      <c r="S27" s="23">
        <f t="shared" ref="S27" si="16">R27</f>
        <v>100</v>
      </c>
      <c r="T27" s="23" t="s">
        <v>29</v>
      </c>
      <c r="U27" s="23">
        <v>0</v>
      </c>
      <c r="V27" s="25"/>
    </row>
    <row r="28" ht="45.65" customHeight="1" spans="1:22" x14ac:dyDescent="0.25">
      <c r="A28" s="15">
        <v>23</v>
      </c>
      <c r="B28" s="16" t="s">
        <v>94</v>
      </c>
      <c r="C28" s="37" t="s">
        <v>95</v>
      </c>
      <c r="D28" s="18" t="s">
        <v>96</v>
      </c>
      <c r="E28" s="39">
        <v>444.8</v>
      </c>
      <c r="F28" s="20">
        <v>26</v>
      </c>
      <c r="G28" s="20">
        <v>0</v>
      </c>
      <c r="H28" s="21">
        <f t="shared" si="0"/>
        <v>444.8</v>
      </c>
      <c r="I28" s="21">
        <f t="shared" si="1"/>
        <v>0</v>
      </c>
      <c r="J28" s="21">
        <v>0</v>
      </c>
      <c r="K28" s="21">
        <v>0</v>
      </c>
      <c r="L28" s="21">
        <v>0</v>
      </c>
      <c r="M28" s="21">
        <f t="shared" si="2"/>
        <v>444.8</v>
      </c>
      <c r="N28" s="21">
        <v>0</v>
      </c>
      <c r="O28" s="21">
        <v>0</v>
      </c>
      <c r="P28" s="21">
        <v>0</v>
      </c>
      <c r="Q28" s="22">
        <v>0</v>
      </c>
      <c r="R28" s="23">
        <f t="shared" si="3"/>
        <v>444.8</v>
      </c>
      <c r="S28" s="23">
        <f>R28+U28</f>
        <v>600</v>
      </c>
      <c r="T28" s="23" t="s">
        <v>29</v>
      </c>
      <c r="U28" s="23">
        <v>155.2</v>
      </c>
      <c r="V28" s="25" t="s">
        <v>30</v>
      </c>
    </row>
    <row r="29" ht="45.65" customHeight="1" spans="1:22" x14ac:dyDescent="0.25">
      <c r="A29" s="15">
        <v>24</v>
      </c>
      <c r="B29" s="16" t="s">
        <v>97</v>
      </c>
      <c r="C29" s="37" t="s">
        <v>98</v>
      </c>
      <c r="D29" s="18" t="s">
        <v>99</v>
      </c>
      <c r="E29" s="40">
        <v>442.883</v>
      </c>
      <c r="F29" s="20">
        <v>26</v>
      </c>
      <c r="G29" s="20">
        <v>0</v>
      </c>
      <c r="H29" s="21">
        <f t="shared" ref="H29:H30" si="17">E29/26*F29</f>
        <v>442.8829999999999</v>
      </c>
      <c r="I29" s="21">
        <f t="shared" ref="I29:I30" si="18">E29/26*G29</f>
        <v>0</v>
      </c>
      <c r="J29" s="21">
        <v>0</v>
      </c>
      <c r="K29" s="21">
        <v>0</v>
      </c>
      <c r="L29" s="21">
        <v>0</v>
      </c>
      <c r="M29" s="21">
        <f t="shared" ref="M29:M30" si="19">H29+I29+J29+K29+L29</f>
        <v>442.8829999999999</v>
      </c>
      <c r="N29" s="21">
        <v>0</v>
      </c>
      <c r="O29" s="21">
        <v>2.832</v>
      </c>
      <c r="P29" s="21">
        <v>0</v>
      </c>
      <c r="Q29" s="22">
        <v>0</v>
      </c>
      <c r="R29" s="23">
        <f t="shared" ref="R29:R30" si="20">M29-N29-O29-P29-Q29</f>
        <v>440.05099999999993</v>
      </c>
      <c r="S29" s="23">
        <f>R29+U29</f>
        <v>597.1679999999999</v>
      </c>
      <c r="T29" s="23" t="s">
        <v>29</v>
      </c>
      <c r="U29" s="23">
        <v>157.117</v>
      </c>
      <c r="V29" s="25"/>
    </row>
    <row r="30" ht="45.65" customHeight="1" spans="1:22" x14ac:dyDescent="0.25">
      <c r="A30" s="15">
        <v>25</v>
      </c>
      <c r="B30" s="16" t="s">
        <v>100</v>
      </c>
      <c r="C30" s="37" t="s">
        <v>101</v>
      </c>
      <c r="D30" s="41" t="s">
        <v>102</v>
      </c>
      <c r="E30" s="38">
        <v>0</v>
      </c>
      <c r="F30" s="20">
        <v>26</v>
      </c>
      <c r="G30" s="20">
        <v>0</v>
      </c>
      <c r="H30" s="21">
        <f t="shared" si="17"/>
        <v>0</v>
      </c>
      <c r="I30" s="21">
        <f t="shared" si="18"/>
        <v>0</v>
      </c>
      <c r="J30" s="21">
        <v>0</v>
      </c>
      <c r="K30" s="21">
        <v>0</v>
      </c>
      <c r="L30" s="21">
        <v>0</v>
      </c>
      <c r="M30" s="21">
        <f t="shared" si="19"/>
        <v>0</v>
      </c>
      <c r="N30" s="21">
        <v>0</v>
      </c>
      <c r="O30" s="21">
        <v>0</v>
      </c>
      <c r="P30" s="21">
        <v>0</v>
      </c>
      <c r="Q30" s="22">
        <v>0</v>
      </c>
      <c r="R30" s="23">
        <f t="shared" si="20"/>
        <v>0</v>
      </c>
      <c r="S30" s="23">
        <f>R30+U30</f>
        <v>300</v>
      </c>
      <c r="T30" s="23" t="s">
        <v>29</v>
      </c>
      <c r="U30" s="23">
        <v>300</v>
      </c>
      <c r="V30" s="25" t="s">
        <v>30</v>
      </c>
    </row>
    <row r="31" ht="50.15" customHeight="1" spans="1:22" x14ac:dyDescent="0.25">
      <c r="A31" s="42"/>
      <c r="B31" s="42"/>
      <c r="C31" s="42"/>
      <c r="D31" s="42"/>
      <c r="E31" s="43">
        <f>SUBTOTAL(9,E6:E30)</f>
        <v>7662.683</v>
      </c>
      <c r="F31" s="42"/>
      <c r="G31" s="44"/>
      <c r="H31" s="43">
        <f>SUBTOTAL(9,H7:H30)</f>
        <v>6684.221461538461</v>
      </c>
      <c r="I31" s="43">
        <f>SUBTOTAL(9,I7:I30)</f>
        <v>639.6153846153845</v>
      </c>
      <c r="J31" s="43">
        <f t="shared" ref="J31:S31" si="21">SUBTOTAL(9,J6:J30)</f>
        <v>0</v>
      </c>
      <c r="K31" s="43">
        <f t="shared" si="21"/>
        <v>0</v>
      </c>
      <c r="L31" s="43">
        <f t="shared" si="21"/>
        <v>300</v>
      </c>
      <c r="M31" s="43">
        <f t="shared" si="21"/>
        <v>8033.836846153846</v>
      </c>
      <c r="N31" s="43">
        <f t="shared" si="21"/>
        <v>0</v>
      </c>
      <c r="O31" s="43">
        <f t="shared" si="21"/>
        <v>8.600999999999999</v>
      </c>
      <c r="P31" s="43">
        <f t="shared" si="21"/>
        <v>20</v>
      </c>
      <c r="Q31" s="43">
        <f t="shared" si="21"/>
        <v>0</v>
      </c>
      <c r="R31" s="43">
        <f t="shared" si="21"/>
        <v>8005.235846153846</v>
      </c>
      <c r="S31" s="43">
        <f t="shared" si="21"/>
        <v>9407.552846153845</v>
      </c>
      <c r="T31" s="43"/>
      <c r="U31" s="43">
        <f>SUBTOTAL(9,U6:U30)</f>
        <v>1402.317</v>
      </c>
      <c r="V31" s="43"/>
    </row>
    <row r="33" ht="20.6" customHeight="1" spans="1:22" x14ac:dyDescent="0.25">
      <c r="A33" s="15">
        <v>99</v>
      </c>
      <c r="B33" s="16" t="s">
        <v>103</v>
      </c>
      <c r="C33" s="17" t="s">
        <v>103</v>
      </c>
      <c r="D33" s="18" t="s">
        <v>103</v>
      </c>
      <c r="E33" s="19">
        <v>0</v>
      </c>
      <c r="F33" s="20">
        <v>0</v>
      </c>
      <c r="G33" s="20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2">
        <v>0</v>
      </c>
      <c r="R33" s="23">
        <v>0</v>
      </c>
      <c r="S33" s="24">
        <v>0</v>
      </c>
      <c r="T33" s="24">
        <v>0</v>
      </c>
      <c r="U33" s="23">
        <v>0</v>
      </c>
      <c r="V33" s="25" t="s">
        <v>103</v>
      </c>
    </row>
    <row r="34" ht="20.6" customHeight="1" spans="1:19" s="45" customFormat="1" x14ac:dyDescent="0.25">
      <c r="A34" s="45"/>
      <c r="B34" s="45"/>
      <c r="C34" s="45" t="s">
        <v>104</v>
      </c>
      <c r="D34" s="45"/>
      <c r="E34" s="45"/>
      <c r="F34" s="45"/>
      <c r="G34" s="45"/>
      <c r="H34" s="45" t="s">
        <v>105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 t="s">
        <v>106</v>
      </c>
    </row>
    <row r="36" spans="1:16" x14ac:dyDescent="0.25">
      <c r="C36" s="1"/>
      <c r="M36" s="46"/>
      <c r="P36" s="46"/>
    </row>
    <row r="37" spans="1:19" x14ac:dyDescent="0.25">
      <c r="C37" s="1"/>
      <c r="S37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