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2149" windowHeight="13200" firstSheet="10" activeTab="10"/>
  </bookViews>
  <sheets>
    <sheet sheetId="42" name="BEC (1-2026)" state="visible" r:id="rId4"/>
  </sheets>
  <definedNames>
    <definedName name="_xlnm._FilterDatabase">'العمليات'!$B$4:$H$24</definedName>
    <definedName name="_xlnm.Print_Area" localSheetId="0">'BEC (1-2026)'!$A1:$V33</definedName>
    <definedName name="_xlnm.Print_Titles" localSheetId="0">'BEC (1-2026)'!$1:$5</definedName>
  </definedNames>
  <calcPr calcId="171027"/>
</workbook>
</file>

<file path=xl/sharedStrings.xml><?xml version="1.0" encoding="utf-8"?>
<sst xmlns="http://schemas.openxmlformats.org/spreadsheetml/2006/main" count="43" uniqueCount="40">
  <si>
    <t>Test Co</t>
  </si>
  <si>
    <t>June 2026 Payroll Report</t>
  </si>
  <si>
    <t xml:space="preserve"> Department / HR</t>
  </si>
  <si>
    <t>S/N</t>
  </si>
  <si>
    <t xml:space="preserve">Emp. Code
كود</t>
  </si>
  <si>
    <t xml:space="preserve">Name / Arabic
الاسم / عربي</t>
  </si>
  <si>
    <t xml:space="preserve">Join Date
تاريخ التعيين</t>
  </si>
  <si>
    <t xml:space="preserve">Basic Salary
KWD
الراتب الأساسي</t>
  </si>
  <si>
    <t xml:space="preserve">Actual Working Days
أيام العمل الفعلية</t>
  </si>
  <si>
    <t xml:space="preserve">Paid leave Days
اجازات مدفوعة</t>
  </si>
  <si>
    <t>Gross Accrual Month</t>
  </si>
  <si>
    <t>Deductions</t>
  </si>
  <si>
    <t xml:space="preserve">Net Salary
KWD
صافي الراتب</t>
  </si>
  <si>
    <t>The amount scheduled to pay</t>
  </si>
  <si>
    <t>Method of payment</t>
  </si>
  <si>
    <t>REFUND SALARY</t>
  </si>
  <si>
    <t xml:space="preserve">Notes
ملاحظات</t>
  </si>
  <si>
    <t xml:space="preserve">Salary KWD
الراتب د.ك</t>
  </si>
  <si>
    <t xml:space="preserve">Paid Leave KWD
اجازات مدفوعة د.ك</t>
  </si>
  <si>
    <t xml:space="preserve">Over Time KWD
إضافي د.ك</t>
  </si>
  <si>
    <t xml:space="preserve">housing allowance 
KWD
بدل سكن د.ك</t>
  </si>
  <si>
    <t xml:space="preserve">Other
أخرى</t>
  </si>
  <si>
    <t xml:space="preserve">Total
الإجمالي</t>
  </si>
  <si>
    <t xml:space="preserve">Penalties
جزاءات</t>
  </si>
  <si>
    <t xml:space="preserve">Deductions
خصومات</t>
  </si>
  <si>
    <t xml:space="preserve">Loan
سلف</t>
  </si>
  <si>
    <t>BEC-000178</t>
  </si>
  <si>
    <t>Employee 1</t>
  </si>
  <si>
    <t>15.8.2018</t>
  </si>
  <si>
    <t>Bank transfer</t>
  </si>
  <si>
    <t>*</t>
  </si>
  <si>
    <t>BEC-000189</t>
  </si>
  <si>
    <t>Employee 2</t>
  </si>
  <si>
    <t>12.1.2017</t>
  </si>
  <si>
    <t>BEC-000180</t>
  </si>
  <si>
    <t>Employee 3</t>
  </si>
  <si>
    <t>5.12.2019</t>
  </si>
  <si>
    <t>Prepared by:</t>
  </si>
  <si>
    <t>Checked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</si>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</sst>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;@"/>
    <numFmt numFmtId="165" formatCode="#,##0.000_);[Red](#,##0.000)"/>
    <numFmt numFmtId="166" formatCode="0.000"/>
  </numFmts>
  <fonts count="11" x14ac:knownFonts="1">
    <font>
      <color theme="1"/>
      <family val="2"/>
      <scheme val="minor"/>
      <sz val="11"/>
      <name val="Calibri"/>
    </font>
    <font>
      <b/>
      <color theme="1"/>
      <family val="1"/>
      <sz val="14"/>
      <name val="Times New Roman"/>
    </font>
    <font>
      <b/>
      <u/>
      <color theme="1"/>
      <family val="1"/>
      <sz val="14"/>
      <name val="Times New Roman"/>
    </font>
    <font>
      <color theme="1"/>
      <family val="2"/>
      <scheme val="minor"/>
      <sz val="14"/>
      <name val="Calibri"/>
    </font>
    <font>
      <b/>
      <family val="1"/>
      <sz val="14"/>
      <name val="Times New Roman"/>
    </font>
    <font>
      <b/>
      <color theme="1"/>
      <family val="2"/>
      <scheme val="minor"/>
      <sz val="14"/>
      <name val="Calibri"/>
    </font>
    <font>
      <b/>
      <family val="2"/>
      <scheme val="minor"/>
      <sz val="14"/>
      <name val="Calibri"/>
    </font>
    <font>
      <b/>
      <family val="2"/>
      <scheme val="minor"/>
      <sz val="12"/>
      <name val="Calibri"/>
    </font>
    <font>
      <b/>
      <color theme="1"/>
      <family val="2"/>
      <scheme val="minor"/>
      <sz val="16"/>
      <name val="Calibri"/>
    </font>
    <font>
      <b/>
      <family val="1"/>
      <sz val="16"/>
      <name val="Times New Roman"/>
    </font>
    <font>
      <b/>
      <color theme="1"/>
      <family val="1"/>
      <sz val="16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/>
      <bottom style="medium"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/>
      <right style="medium"/>
      <top/>
      <bottom style="medium"/>
      <diagonal/>
    </border>
    <border>
      <left style="medium"/>
      <right style="medium"/>
      <top style="medium"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 style="medium"/>
      <top style="medium"/>
      <bottom style="medium"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/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164" fontId="1" fillId="4" borderId="9" xfId="0" applyNumberFormat="1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165" fontId="4" fillId="4" borderId="9" xfId="0" applyNumberFormat="1" applyFont="1" applyFill="1" applyBorder="1" applyAlignment="1">
      <alignment horizontal="center" vertical="center" wrapText="1"/>
    </xf>
    <xf numFmtId="165" fontId="1" fillId="4" borderId="9" xfId="0" applyNumberFormat="1" applyFont="1" applyFill="1" applyBorder="1" applyAlignment="1">
      <alignment horizontal="center" vertical="center" wrapText="1"/>
    </xf>
    <xf numFmtId="165" fontId="4" fillId="4" borderId="9" xfId="0" applyNumberFormat="1" applyFont="1" applyFill="1" applyBorder="1" applyAlignment="1">
      <alignment horizontal="center" vertical="center"/>
    </xf>
    <xf numFmtId="165" fontId="4" fillId="4" borderId="8" xfId="0" applyNumberFormat="1" applyFont="1" applyFill="1" applyBorder="1" applyAlignment="1">
      <alignment horizontal="center" vertical="center"/>
    </xf>
    <xf numFmtId="0" fontId="6" fillId="4" borderId="9" xfId="0" applyFont="1" applyFill="1" applyBorder="1" applyAlignment="1">
      <alignment wrapText="1" readingOrder="2"/>
    </xf>
    <xf numFmtId="0" fontId="5" fillId="0" borderId="9" xfId="0" applyFont="1" applyBorder="1" applyAlignment="1">
      <alignment horizontal="center" vertical="center" wrapText="1"/>
    </xf>
    <xf numFmtId="165" fontId="4" fillId="5" borderId="9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wrapText="1" readingOrder="2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165" fontId="9" fillId="4" borderId="9" xfId="0" applyNumberFormat="1" applyFont="1" applyFill="1" applyBorder="1" applyAlignment="1">
      <alignment horizontal="center" vertical="center" wrapText="1"/>
    </xf>
    <xf numFmtId="165" fontId="10" fillId="4" borderId="9" xfId="0" applyNumberFormat="1" applyFont="1" applyFill="1" applyBorder="1" applyAlignment="1">
      <alignment horizontal="center" vertical="center" wrapText="1"/>
    </xf>
    <xf numFmtId="165" fontId="9" fillId="4" borderId="9" xfId="0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66" fontId="6" fillId="0" borderId="9" xfId="0" applyNumberFormat="1" applyFont="1" applyBorder="1" applyAlignment="1">
      <alignment horizontal="center" vertical="center"/>
    </xf>
    <xf numFmtId="164" fontId="4" fillId="6" borderId="10" xfId="0" applyNumberFormat="1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vertical="center"/>
    </xf>
    <xf numFmtId="165" fontId="5" fillId="3" borderId="12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vertical="center"/>
    </xf>
    <xf numFmtId="0" fontId="8" fillId="0" borderId="0" xfId="0" applyFont="1"/>
    <xf numFmtId="165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6"/>
  <sheetViews>
    <sheetView workbookViewId="0" zoomScale="47" zoomScaleNormal="47">
      <pane xSplit="3" ySplit="5" topLeftCell="D21" activePane="bottomRight" state="frozen"/>
      <selection pane="bottomRight" activeCell="C26" sqref="C26"/>
    </sheetView>
  </sheetViews>
  <sheetFormatPr defaultRowHeight="14.6" outlineLevelRow="0" outlineLevelCol="0" x14ac:dyDescent="0.4" customHeight="1"/>
  <cols>
    <col min="2" max="2" width="17.69140625" customWidth="1"/>
    <col min="3" max="3" width="45.3046875" style="1" customWidth="1"/>
    <col min="4" max="4" width="16.69140625" customWidth="1"/>
    <col min="5" max="5" width="18.3828125" customWidth="1"/>
    <col min="6" max="6" width="12" customWidth="1"/>
    <col min="7" max="7" width="10.84375" customWidth="1"/>
    <col min="8" max="8" width="21.3046875" customWidth="1"/>
    <col min="9" max="9" width="17.15234375" customWidth="1"/>
    <col min="10" max="10" width="14.53515625" customWidth="1"/>
    <col min="11" max="11" width="14" customWidth="1"/>
    <col min="12" max="12" width="14.3046875" customWidth="1"/>
    <col min="13" max="13" width="16.69140625" customWidth="1"/>
    <col min="14" max="14" width="17.3046875" customWidth="1"/>
    <col min="15" max="15" width="14.3828125" customWidth="1"/>
    <col min="16" max="16" width="15.3046875" customWidth="1"/>
    <col min="17" max="17" width="14.69140625" customWidth="1"/>
    <col min="18" max="21" width="21.15234375" customWidth="1"/>
    <col min="22" max="22" width="36.3046875" customWidth="1"/>
  </cols>
  <sheetData>
    <row r="1" ht="21" customHeight="1" spans="1:22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25.5" customHeight="1" spans="1:22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25.5" customHeight="1" spans="1:22" x14ac:dyDescent="0.25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30" customHeight="1" spans="1:22" s="6" customFormat="1" x14ac:dyDescent="0.25">
      <c r="A4" s="7" t="s">
        <v>3</v>
      </c>
      <c r="B4" s="8" t="s">
        <v>4</v>
      </c>
      <c r="C4" s="8" t="s">
        <v>5</v>
      </c>
      <c r="D4" s="9" t="s">
        <v>6</v>
      </c>
      <c r="E4" s="8" t="s">
        <v>7</v>
      </c>
      <c r="F4" s="8" t="s">
        <v>8</v>
      </c>
      <c r="G4" s="8" t="s">
        <v>9</v>
      </c>
      <c r="H4" s="10" t="s">
        <v>10</v>
      </c>
      <c r="I4" s="10"/>
      <c r="J4" s="10"/>
      <c r="K4" s="10"/>
      <c r="L4" s="10"/>
      <c r="M4" s="10"/>
      <c r="N4" s="10" t="s">
        <v>11</v>
      </c>
      <c r="O4" s="10"/>
      <c r="P4" s="10"/>
      <c r="Q4" s="10"/>
      <c r="R4" s="8" t="s">
        <v>12</v>
      </c>
      <c r="S4" s="11" t="s">
        <v>13</v>
      </c>
      <c r="T4" s="11" t="s">
        <v>14</v>
      </c>
      <c r="U4" s="11" t="s">
        <v>15</v>
      </c>
      <c r="V4" s="8" t="s">
        <v>16</v>
      </c>
    </row>
    <row r="5" ht="65.5" customHeight="1" spans="1:22" s="6" customFormat="1" x14ac:dyDescent="0.25">
      <c r="A5" s="7"/>
      <c r="B5" s="8"/>
      <c r="C5" s="8"/>
      <c r="D5" s="9"/>
      <c r="E5" s="8"/>
      <c r="F5" s="8"/>
      <c r="G5" s="8"/>
      <c r="H5" s="11" t="s">
        <v>17</v>
      </c>
      <c r="I5" s="11" t="s">
        <v>18</v>
      </c>
      <c r="J5" s="11" t="s">
        <v>19</v>
      </c>
      <c r="K5" s="11" t="s">
        <v>20</v>
      </c>
      <c r="L5" s="11" t="s">
        <v>21</v>
      </c>
      <c r="M5" s="11" t="s">
        <v>22</v>
      </c>
      <c r="N5" s="11" t="s">
        <v>23</v>
      </c>
      <c r="O5" s="11" t="s">
        <v>24</v>
      </c>
      <c r="P5" s="11" t="s">
        <v>25</v>
      </c>
      <c r="Q5" s="12" t="s">
        <v>21</v>
      </c>
      <c r="R5" s="8"/>
      <c r="S5" s="13"/>
      <c r="T5" s="13"/>
      <c r="U5" s="14"/>
      <c r="V5" s="8"/>
    </row>
    <row r="6" ht="51.75" customHeight="1" spans="1:22" s="6" customFormat="1" x14ac:dyDescent="0.25">
      <c r="A6" s="15">
        <v>1</v>
      </c>
      <c r="B6" s="16" t="s">
        <v>26</v>
      </c>
      <c r="C6" s="17" t="s">
        <v>27</v>
      </c>
      <c r="D6" s="18" t="s">
        <v>28</v>
      </c>
      <c r="E6" s="19">
        <v>500</v>
      </c>
      <c r="F6" s="20">
        <v>26</v>
      </c>
      <c r="G6" s="20">
        <v>0</v>
      </c>
      <c r="H6" s="21">
        <f>E6/26*F6</f>
        <v>410</v>
      </c>
      <c r="I6" s="21">
        <f>E6/26*G6</f>
        <v>0</v>
      </c>
      <c r="J6" s="21">
        <v>0</v>
      </c>
      <c r="K6" s="21">
        <v>0</v>
      </c>
      <c r="L6" s="21">
        <v>0</v>
      </c>
      <c r="M6" s="21">
        <f>H6+I6+J6+K6+L6</f>
        <v>410</v>
      </c>
      <c r="N6" s="21">
        <v>0</v>
      </c>
      <c r="O6" s="21">
        <v>0</v>
      </c>
      <c r="P6" s="21">
        <v>0</v>
      </c>
      <c r="Q6" s="22">
        <v>0</v>
      </c>
      <c r="R6" s="23">
        <f>M6-N6-O6-P6-Q6</f>
        <v>410</v>
      </c>
      <c r="S6" s="24">
        <f>R6+U6</f>
        <v>800</v>
      </c>
      <c r="T6" s="24" t="s">
        <v>29</v>
      </c>
      <c r="U6" s="23">
        <v>390</v>
      </c>
      <c r="V6" s="25" t="s">
        <v>30</v>
      </c>
    </row>
    <row r="7" ht="45.65" customHeight="1" spans="1:22" x14ac:dyDescent="0.25">
      <c r="A7" s="15">
        <v>2</v>
      </c>
      <c r="B7" s="16" t="s">
        <v>31</v>
      </c>
      <c r="C7" s="17" t="s">
        <v>32</v>
      </c>
      <c r="D7" s="18" t="s">
        <v>33</v>
      </c>
      <c r="E7" s="19">
        <v>500</v>
      </c>
      <c r="F7" s="20">
        <v>26</v>
      </c>
      <c r="G7" s="20">
        <v>0</v>
      </c>
      <c r="H7" s="21">
        <f t="shared" ref="H7:H28" si="0">E7/26*F7</f>
        <v>255.00000000000003</v>
      </c>
      <c r="I7" s="21">
        <f t="shared" ref="I7:I28" si="1">E7/26*G7</f>
        <v>0</v>
      </c>
      <c r="J7" s="21">
        <v>0</v>
      </c>
      <c r="K7" s="21">
        <v>0</v>
      </c>
      <c r="L7" s="21">
        <v>0</v>
      </c>
      <c r="M7" s="21">
        <f t="shared" ref="M7:M28" si="2">H7+I7+J7+K7+L7</f>
        <v>255.00000000000003</v>
      </c>
      <c r="N7" s="21">
        <v>0</v>
      </c>
      <c r="O7" s="21">
        <v>0</v>
      </c>
      <c r="P7" s="21">
        <v>0</v>
      </c>
      <c r="Q7" s="22">
        <v>0</v>
      </c>
      <c r="R7" s="23">
        <f t="shared" ref="R7:R28" si="3">M7-N7-O7-P7-Q7</f>
        <v>255.00000000000003</v>
      </c>
      <c r="S7" s="24">
        <f t="shared" ref="S7:S20" si="4">R7</f>
        <v>255.00000000000003</v>
      </c>
      <c r="T7" s="24" t="s">
        <v>29</v>
      </c>
      <c r="U7" s="23">
        <v>0</v>
      </c>
      <c r="V7" s="25"/>
    </row>
    <row r="8" ht="45.65" customHeight="1" spans="1:22" x14ac:dyDescent="0.25">
      <c r="A8" s="15">
        <v>3</v>
      </c>
      <c r="B8" s="16" t="s">
        <v>34</v>
      </c>
      <c r="C8" s="17" t="s">
        <v>35</v>
      </c>
      <c r="D8" s="18" t="s">
        <v>36</v>
      </c>
      <c r="E8" s="19">
        <v>500</v>
      </c>
      <c r="F8" s="20">
        <v>26</v>
      </c>
      <c r="G8" s="20">
        <v>0</v>
      </c>
      <c r="H8" s="21">
        <f t="shared" si="0"/>
        <v>150</v>
      </c>
      <c r="I8" s="21">
        <f t="shared" si="1"/>
        <v>0</v>
      </c>
      <c r="J8" s="21">
        <v>0</v>
      </c>
      <c r="K8" s="21">
        <v>0</v>
      </c>
      <c r="L8" s="21">
        <v>0</v>
      </c>
      <c r="M8" s="21">
        <f t="shared" si="2"/>
        <v>150</v>
      </c>
      <c r="N8" s="21">
        <v>0</v>
      </c>
      <c r="O8" s="21">
        <v>0</v>
      </c>
      <c r="P8" s="21">
        <v>0</v>
      </c>
      <c r="Q8" s="22">
        <v>0</v>
      </c>
      <c r="R8" s="23">
        <f t="shared" si="3"/>
        <v>150</v>
      </c>
      <c r="S8" s="24">
        <f t="shared" si="4"/>
        <v>150</v>
      </c>
      <c r="T8" s="24" t="s">
        <v>29</v>
      </c>
      <c r="U8" s="23">
        <v>0</v>
      </c>
      <c r="V8" s="25"/>
    </row>
    <row r="9" ht="45.65" customHeight="1" spans="1:22" x14ac:dyDescent="0.25">
      <c r="A9" s="15"/>
      <c r="B9" s="16"/>
      <c r="C9" s="17"/>
      <c r="D9" s="18"/>
      <c r="E9" s="16"/>
      <c r="F9" s="20"/>
      <c r="G9" s="20"/>
      <c r="H9" s="21"/>
      <c r="I9" s="21"/>
      <c r="J9" s="21"/>
      <c r="K9" s="21"/>
      <c r="L9" s="21"/>
      <c r="M9" s="21"/>
      <c r="N9" s="21"/>
      <c r="O9" s="21"/>
      <c r="P9" s="21"/>
      <c r="Q9" s="22"/>
      <c r="R9" s="23"/>
      <c r="S9" s="23"/>
      <c r="T9" s="23"/>
      <c r="U9" s="23"/>
      <c r="V9" s="25"/>
    </row>
    <row r="10" ht="45.65" customHeight="1" spans="1:22" x14ac:dyDescent="0.25">
      <c r="A10" s="15"/>
      <c r="B10" s="16"/>
      <c r="C10" s="17"/>
      <c r="D10" s="18"/>
      <c r="E10" s="16"/>
      <c r="F10" s="20"/>
      <c r="G10" s="20"/>
      <c r="H10" s="21"/>
      <c r="I10" s="21"/>
      <c r="J10" s="21"/>
      <c r="K10" s="21"/>
      <c r="L10" s="21"/>
      <c r="M10" s="21"/>
      <c r="N10" s="21"/>
      <c r="O10" s="21"/>
      <c r="P10" s="21"/>
      <c r="Q10" s="22"/>
      <c r="R10" s="23"/>
      <c r="S10" s="23"/>
      <c r="T10" s="23"/>
      <c r="U10" s="23"/>
      <c r="V10" s="25"/>
    </row>
    <row r="11" ht="45.65" customHeight="1" spans="1:22" x14ac:dyDescent="0.25">
      <c r="A11" s="15"/>
      <c r="B11" s="16"/>
      <c r="C11" s="26"/>
      <c r="D11" s="18"/>
      <c r="E11" s="16"/>
      <c r="F11" s="20"/>
      <c r="G11" s="20"/>
      <c r="H11" s="21"/>
      <c r="I11" s="21"/>
      <c r="J11" s="21"/>
      <c r="K11" s="21"/>
      <c r="L11" s="21"/>
      <c r="M11" s="21"/>
      <c r="N11" s="21"/>
      <c r="O11" s="21"/>
      <c r="P11" s="21"/>
      <c r="Q11" s="22"/>
      <c r="R11" s="23"/>
      <c r="S11" s="23"/>
      <c r="T11" s="23"/>
      <c r="U11" s="23"/>
      <c r="V11" s="25"/>
    </row>
    <row r="12" ht="45.65" customHeight="1" spans="1:22" x14ac:dyDescent="0.25">
      <c r="A12" s="15"/>
      <c r="B12" s="16"/>
      <c r="C12" s="26"/>
      <c r="D12" s="18"/>
      <c r="E12" s="16"/>
      <c r="F12" s="20"/>
      <c r="G12" s="20"/>
      <c r="H12" s="21"/>
      <c r="I12" s="21"/>
      <c r="J12" s="21"/>
      <c r="K12" s="21"/>
      <c r="L12" s="21"/>
      <c r="M12" s="21"/>
      <c r="N12" s="21"/>
      <c r="O12" s="21"/>
      <c r="P12" s="21"/>
      <c r="Q12" s="22"/>
      <c r="R12" s="23"/>
      <c r="S12" s="23"/>
      <c r="T12" s="23"/>
      <c r="U12" s="23"/>
      <c r="V12" s="25"/>
    </row>
    <row r="13" ht="45.65" customHeight="1" spans="1:22" x14ac:dyDescent="0.25">
      <c r="A13" s="15"/>
      <c r="B13" s="16"/>
      <c r="C13" s="26"/>
      <c r="D13" s="18"/>
      <c r="E13" s="16"/>
      <c r="F13" s="20"/>
      <c r="G13" s="20"/>
      <c r="H13" s="21"/>
      <c r="I13" s="21"/>
      <c r="J13" s="21"/>
      <c r="K13" s="21"/>
      <c r="L13" s="21"/>
      <c r="M13" s="21"/>
      <c r="N13" s="21"/>
      <c r="O13" s="21"/>
      <c r="P13" s="21"/>
      <c r="Q13" s="22"/>
      <c r="R13" s="23"/>
      <c r="S13" s="23"/>
      <c r="T13" s="23"/>
      <c r="U13" s="23"/>
      <c r="V13" s="25"/>
    </row>
    <row r="14" ht="45.65" customHeight="1" spans="1:22" x14ac:dyDescent="0.25">
      <c r="A14" s="15"/>
      <c r="B14" s="16"/>
      <c r="C14" s="26"/>
      <c r="D14" s="18"/>
      <c r="E14" s="16"/>
      <c r="F14" s="20"/>
      <c r="G14" s="20"/>
      <c r="H14" s="21"/>
      <c r="I14" s="21"/>
      <c r="J14" s="21"/>
      <c r="K14" s="21"/>
      <c r="L14" s="27"/>
      <c r="M14" s="21"/>
      <c r="N14" s="21"/>
      <c r="O14" s="21"/>
      <c r="P14" s="21"/>
      <c r="Q14" s="22"/>
      <c r="R14" s="23"/>
      <c r="S14" s="23"/>
      <c r="T14" s="23"/>
      <c r="U14" s="23"/>
      <c r="V14" s="25"/>
    </row>
    <row r="15" ht="45.65" customHeight="1" spans="1:22" x14ac:dyDescent="0.25">
      <c r="A15" s="15"/>
      <c r="B15" s="16"/>
      <c r="C15" s="26"/>
      <c r="D15" s="18"/>
      <c r="E15" s="16"/>
      <c r="F15" s="20"/>
      <c r="G15" s="20"/>
      <c r="H15" s="21"/>
      <c r="I15" s="21"/>
      <c r="J15" s="21"/>
      <c r="K15" s="21"/>
      <c r="L15" s="21"/>
      <c r="M15" s="21"/>
      <c r="N15" s="21"/>
      <c r="O15" s="21"/>
      <c r="P15" s="21"/>
      <c r="Q15" s="22"/>
      <c r="R15" s="23"/>
      <c r="S15" s="23"/>
      <c r="T15" s="23"/>
      <c r="U15" s="23"/>
      <c r="V15" s="25"/>
    </row>
    <row r="16" ht="45.65" customHeight="1" spans="1:22" x14ac:dyDescent="0.25">
      <c r="A16" s="15"/>
      <c r="B16" s="16"/>
      <c r="C16" s="26"/>
      <c r="D16" s="18"/>
      <c r="E16" s="16"/>
      <c r="F16" s="20"/>
      <c r="G16" s="20"/>
      <c r="H16" s="21"/>
      <c r="I16" s="21"/>
      <c r="J16" s="21"/>
      <c r="K16" s="21"/>
      <c r="L16" s="21"/>
      <c r="M16" s="21"/>
      <c r="N16" s="21"/>
      <c r="O16" s="21"/>
      <c r="P16" s="21"/>
      <c r="Q16" s="22"/>
      <c r="R16" s="23"/>
      <c r="S16" s="23"/>
      <c r="T16" s="23"/>
      <c r="U16" s="23"/>
      <c r="V16" s="25"/>
    </row>
    <row r="17" ht="45.65" customHeight="1" spans="1:22" x14ac:dyDescent="0.25">
      <c r="A17" s="15"/>
      <c r="B17" s="16"/>
      <c r="C17" s="26"/>
      <c r="D17" s="18"/>
      <c r="E17" s="16"/>
      <c r="F17" s="20"/>
      <c r="G17" s="20"/>
      <c r="H17" s="21"/>
      <c r="I17" s="21"/>
      <c r="J17" s="21"/>
      <c r="K17" s="21"/>
      <c r="L17" s="21"/>
      <c r="M17" s="21"/>
      <c r="N17" s="21"/>
      <c r="O17" s="21"/>
      <c r="P17" s="21"/>
      <c r="Q17" s="22"/>
      <c r="R17" s="23"/>
      <c r="S17" s="23"/>
      <c r="T17" s="23"/>
      <c r="U17" s="23"/>
      <c r="V17" s="25"/>
    </row>
    <row r="18" ht="45.65" customHeight="1" spans="1:22" x14ac:dyDescent="0.25">
      <c r="A18" s="15"/>
      <c r="B18" s="16"/>
      <c r="C18" s="26"/>
      <c r="D18" s="18"/>
      <c r="E18" s="16"/>
      <c r="F18" s="20"/>
      <c r="G18" s="20"/>
      <c r="H18" s="21"/>
      <c r="I18" s="21"/>
      <c r="J18" s="21"/>
      <c r="K18" s="21"/>
      <c r="L18" s="21"/>
      <c r="M18" s="21"/>
      <c r="N18" s="21"/>
      <c r="O18" s="21"/>
      <c r="P18" s="21"/>
      <c r="Q18" s="22"/>
      <c r="R18" s="23"/>
      <c r="S18" s="23"/>
      <c r="T18" s="23"/>
      <c r="U18" s="23"/>
      <c r="V18" s="25"/>
    </row>
    <row r="19" ht="45.65" customHeight="1" spans="1:22" x14ac:dyDescent="0.25">
      <c r="A19" s="15"/>
      <c r="B19" s="16"/>
      <c r="C19" s="17"/>
      <c r="D19" s="18"/>
      <c r="E19" s="16"/>
      <c r="F19" s="20"/>
      <c r="G19" s="20"/>
      <c r="H19" s="21"/>
      <c r="I19" s="21"/>
      <c r="J19" s="21"/>
      <c r="K19" s="21"/>
      <c r="L19" s="21"/>
      <c r="M19" s="21"/>
      <c r="N19" s="21"/>
      <c r="O19" s="21"/>
      <c r="P19" s="21"/>
      <c r="Q19" s="22"/>
      <c r="R19" s="23"/>
      <c r="S19" s="23"/>
      <c r="T19" s="23"/>
      <c r="U19" s="23"/>
      <c r="V19" s="25"/>
    </row>
    <row r="20" ht="45.65" customHeight="1" spans="1:22" x14ac:dyDescent="0.25">
      <c r="A20" s="15"/>
      <c r="B20" s="16"/>
      <c r="C20" s="17"/>
      <c r="D20" s="18"/>
      <c r="E20" s="16"/>
      <c r="F20" s="20"/>
      <c r="G20" s="20"/>
      <c r="H20" s="21"/>
      <c r="I20" s="21"/>
      <c r="J20" s="21"/>
      <c r="K20" s="21"/>
      <c r="L20" s="21"/>
      <c r="M20" s="21"/>
      <c r="N20" s="21"/>
      <c r="O20" s="21"/>
      <c r="P20" s="21"/>
      <c r="Q20" s="22"/>
      <c r="R20" s="23"/>
      <c r="S20" s="23"/>
      <c r="T20" s="23"/>
      <c r="U20" s="23"/>
      <c r="V20" s="25"/>
    </row>
    <row r="21" ht="45.65" customHeight="1" spans="1:22" x14ac:dyDescent="0.25">
      <c r="A21" s="15"/>
      <c r="B21" s="16"/>
      <c r="C21" s="17"/>
      <c r="D21" s="18"/>
      <c r="E21" s="16"/>
      <c r="F21" s="20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2"/>
      <c r="R21" s="23"/>
      <c r="S21" s="23"/>
      <c r="T21" s="23"/>
      <c r="U21" s="23"/>
      <c r="V21" s="25"/>
    </row>
    <row r="22" ht="45.65" customHeight="1" spans="1:22" x14ac:dyDescent="0.25">
      <c r="A22" s="15"/>
      <c r="B22" s="16"/>
      <c r="C22" s="28"/>
      <c r="D22" s="18"/>
      <c r="E22" s="16"/>
      <c r="F22" s="29"/>
      <c r="G22" s="20"/>
      <c r="H22" s="21"/>
      <c r="I22" s="21"/>
      <c r="J22" s="22"/>
      <c r="K22" s="22"/>
      <c r="L22" s="22"/>
      <c r="M22" s="21"/>
      <c r="N22" s="22"/>
      <c r="O22" s="21"/>
      <c r="P22" s="22"/>
      <c r="Q22" s="22"/>
      <c r="R22" s="23"/>
      <c r="S22" s="24"/>
      <c r="T22" s="23"/>
      <c r="U22" s="23"/>
      <c r="V22" s="30"/>
    </row>
    <row r="23" ht="45.65" customHeight="1" spans="1:22" x14ac:dyDescent="0.25">
      <c r="A23" s="15"/>
      <c r="B23" s="16"/>
      <c r="C23" s="26"/>
      <c r="D23" s="18"/>
      <c r="E23" s="16"/>
      <c r="F23" s="20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2"/>
      <c r="R23" s="23"/>
      <c r="S23" s="23"/>
      <c r="T23" s="23"/>
      <c r="U23" s="23"/>
      <c r="V23" s="25"/>
    </row>
    <row r="24" ht="45.65" customHeight="1" spans="1:22" x14ac:dyDescent="0.25">
      <c r="A24" s="15"/>
      <c r="B24" s="16"/>
      <c r="C24" s="26"/>
      <c r="D24" s="18"/>
      <c r="E24" s="16"/>
      <c r="F24" s="20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2"/>
      <c r="R24" s="23"/>
      <c r="S24" s="23"/>
      <c r="T24" s="23"/>
      <c r="U24" s="23"/>
      <c r="V24" s="25"/>
    </row>
    <row r="25" ht="45.65" customHeight="1" spans="1:22" x14ac:dyDescent="0.25">
      <c r="A25" s="15"/>
      <c r="B25" s="31"/>
      <c r="C25" s="32"/>
      <c r="D25" s="18"/>
      <c r="E25" s="31"/>
      <c r="F25" s="33"/>
      <c r="G25" s="33"/>
      <c r="H25" s="34"/>
      <c r="I25" s="34"/>
      <c r="J25" s="34"/>
      <c r="K25" s="34"/>
      <c r="L25" s="34"/>
      <c r="M25" s="34"/>
      <c r="N25" s="34"/>
      <c r="O25" s="34"/>
      <c r="P25" s="34"/>
      <c r="Q25" s="35"/>
      <c r="R25" s="36"/>
      <c r="S25" s="36"/>
      <c r="T25" s="36"/>
      <c r="U25" s="36"/>
      <c r="V25" s="25"/>
    </row>
    <row r="26" ht="45.65" customHeight="1" spans="1:22" x14ac:dyDescent="0.25">
      <c r="A26" s="15"/>
      <c r="B26" s="16"/>
      <c r="C26" s="37"/>
      <c r="D26" s="18"/>
      <c r="E26" s="38"/>
      <c r="F26" s="20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2"/>
      <c r="R26" s="23"/>
      <c r="S26" s="23"/>
      <c r="T26" s="23"/>
      <c r="U26" s="23"/>
      <c r="V26" s="25"/>
    </row>
    <row r="27" ht="45.65" customHeight="1" spans="1:22" x14ac:dyDescent="0.25">
      <c r="A27" s="15"/>
      <c r="B27" s="16"/>
      <c r="C27" s="17"/>
      <c r="D27" s="18"/>
      <c r="E27" s="16"/>
      <c r="F27" s="20"/>
      <c r="G27" s="20"/>
      <c r="H27" s="21"/>
      <c r="I27" s="21"/>
      <c r="J27" s="21"/>
      <c r="K27" s="21"/>
      <c r="L27" s="21"/>
      <c r="M27" s="21"/>
      <c r="N27" s="21"/>
      <c r="O27" s="21"/>
      <c r="P27" s="21"/>
      <c r="Q27" s="22"/>
      <c r="R27" s="23"/>
      <c r="S27" s="23"/>
      <c r="T27" s="23"/>
      <c r="U27" s="23"/>
      <c r="V27" s="25"/>
    </row>
    <row r="28" ht="45.65" customHeight="1" spans="1:22" x14ac:dyDescent="0.25">
      <c r="A28" s="15"/>
      <c r="B28" s="16"/>
      <c r="C28" s="37"/>
      <c r="D28" s="18"/>
      <c r="E28" s="39"/>
      <c r="F28" s="20"/>
      <c r="G28" s="20"/>
      <c r="H28" s="21"/>
      <c r="I28" s="21"/>
      <c r="J28" s="21"/>
      <c r="K28" s="21"/>
      <c r="L28" s="21"/>
      <c r="M28" s="21"/>
      <c r="N28" s="21"/>
      <c r="O28" s="21"/>
      <c r="P28" s="21"/>
      <c r="Q28" s="22"/>
      <c r="R28" s="23"/>
      <c r="S28" s="23"/>
      <c r="T28" s="23"/>
      <c r="U28" s="23"/>
      <c r="V28" s="25"/>
    </row>
    <row r="29" ht="45.65" customHeight="1" spans="1:22" x14ac:dyDescent="0.25">
      <c r="A29" s="15"/>
      <c r="B29" s="16"/>
      <c r="C29" s="37"/>
      <c r="D29" s="18"/>
      <c r="E29" s="40"/>
      <c r="F29" s="20"/>
      <c r="G29" s="20"/>
      <c r="H29" s="21"/>
      <c r="I29" s="21"/>
      <c r="J29" s="21"/>
      <c r="K29" s="21"/>
      <c r="L29" s="21"/>
      <c r="M29" s="21"/>
      <c r="N29" s="21"/>
      <c r="O29" s="21"/>
      <c r="P29" s="21"/>
      <c r="Q29" s="22"/>
      <c r="R29" s="23"/>
      <c r="S29" s="23"/>
      <c r="T29" s="23"/>
      <c r="U29" s="23"/>
      <c r="V29" s="25"/>
    </row>
    <row r="30" ht="45.65" customHeight="1" spans="1:22" x14ac:dyDescent="0.25">
      <c r="A30" s="15"/>
      <c r="B30" s="16"/>
      <c r="C30" s="37"/>
      <c r="D30" s="41"/>
      <c r="E30" s="38"/>
      <c r="F30" s="20"/>
      <c r="G30" s="20"/>
      <c r="H30" s="21"/>
      <c r="I30" s="21"/>
      <c r="J30" s="21"/>
      <c r="K30" s="21"/>
      <c r="L30" s="21"/>
      <c r="M30" s="21"/>
      <c r="N30" s="21"/>
      <c r="O30" s="21"/>
      <c r="P30" s="21"/>
      <c r="Q30" s="22"/>
      <c r="R30" s="23"/>
      <c r="S30" s="23"/>
      <c r="T30" s="23"/>
      <c r="U30" s="23"/>
      <c r="V30" s="25"/>
    </row>
    <row r="31" ht="50.15" customHeight="1" spans="1:22" x14ac:dyDescent="0.25">
      <c r="A31" s="42"/>
      <c r="B31" s="42"/>
      <c r="C31" s="42"/>
      <c r="D31" s="42"/>
      <c r="E31" s="43"/>
      <c r="F31" s="42"/>
      <c r="G31" s="44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</row>
    <row r="32" spans="1:22" x14ac:dyDescent="0.25">
      <c r="C32" s="1"/>
    </row>
    <row r="33" ht="20.6" customHeight="1" spans="3:19" s="45" customFormat="1" x14ac:dyDescent="0.25">
      <c r="C33" s="45" t="s">
        <v>37</v>
      </c>
      <c r="H33" s="45" t="s">
        <v>38</v>
      </c>
      <c r="S33" s="45" t="s">
        <v>39</v>
      </c>
    </row>
    <row r="35" spans="13:16" x14ac:dyDescent="0.25">
      <c r="M35" s="46"/>
      <c r="P35" s="46"/>
    </row>
    <row r="36" spans="19:19" x14ac:dyDescent="0.25">
      <c r="S36" s="46"/>
    </row>
  </sheetData>
  <autoFilter ref="A5:V33"/>
  <mergeCells count="17">
    <mergeCell ref="A1:V1"/>
    <mergeCell ref="A2:V2"/>
    <mergeCell ref="A3:V3"/>
    <mergeCell ref="H4:M4"/>
    <mergeCell ref="N4:Q4"/>
    <mergeCell ref="A4:A5"/>
    <mergeCell ref="B4:B5"/>
    <mergeCell ref="C4:C5"/>
    <mergeCell ref="D4:D5"/>
    <mergeCell ref="E4:E5"/>
    <mergeCell ref="F4:F5"/>
    <mergeCell ref="G4:G5"/>
    <mergeCell ref="R4:R5"/>
    <mergeCell ref="S4:S5"/>
    <mergeCell ref="T4:T5"/>
    <mergeCell ref="U4:U5"/>
    <mergeCell ref="V4:V5"/>
  </mergeCells>
  <conditionalFormatting sqref="C6"/>
  <conditionalFormatting sqref="C22:C23"/>
  <conditionalFormatting sqref="C24 C7:C21 C26:C29"/>
  <conditionalFormatting sqref="C25"/>
  <conditionalFormatting sqref="C30"/>
  <printOptions horizontalCentered="1"/>
  <pageMargins left="0.25" right="0.25" top="0.75" bottom="0.75" header="0.3" footer="0.3"/>
  <pageSetup paperSize="9" orientation="landscape" horizontalDpi="4294967295" verticalDpi="4294967295" scale="34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 (1-2026)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</dc:creator>
  <cp:lastModifiedBy>Mustafa Suleman</cp:lastModifiedBy>
  <cp:lastPrinted>2026-06-21T12:26:55Z</cp:lastPrinted>
  <dcterms:created xsi:type="dcterms:W3CDTF">2019-09-23T06:02:08Z</dcterms:created>
  <dcterms:modified xsi:type="dcterms:W3CDTF">2026-06-23T09:29:48Z</dcterms:modified>
</cp:coreProperties>
</file>