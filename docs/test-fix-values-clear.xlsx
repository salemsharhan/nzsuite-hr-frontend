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24" name="العمليات" state="hidden" r:id="rId4"/>
    <sheet sheetId="28" name="DYLX" state="hidden" r:id="rId5"/>
    <sheet sheetId="34" name="BEC(1)" state="hidden" r:id="rId6"/>
    <sheet sheetId="35" name="BEC(2)" state="hidden" r:id="rId7"/>
    <sheet sheetId="36" name="BEC(3)" state="hidden" r:id="rId8"/>
    <sheet sheetId="33" name="BEC(4)" state="hidden" r:id="rId9"/>
    <sheet sheetId="31" name="BEC5" state="hidden" r:id="rId10"/>
    <sheet sheetId="37" name="BEC (6)" state="hidden" r:id="rId11"/>
    <sheet sheetId="38" name="BEC (7)" state="hidden" r:id="rId12"/>
    <sheet sheetId="39" name="BEC (1)" state="hidden" r:id="rId13"/>
    <sheet sheetId="42" name="BEC (1-2026)" state="visible" r:id="rId14"/>
    <sheet sheetId="44" name="BEC (1-2025) (3)" state="hidden" r:id="rId15"/>
    <sheet sheetId="43" name="BEC (1-2025) (2)" state="hidden" r:id="rId16"/>
    <sheet sheetId="41" name="BEC (jan)" state="hidden" r:id="rId17"/>
    <sheet sheetId="40" name="BEC (9)" state="hidden" r:id="rId18"/>
    <sheet sheetId="29" name="Admin 1 (2)" state="hidden" r:id="rId19"/>
  </sheets>
  <definedNames>
    <definedName name="_xlnm._FilterDatabase">'العمليات'!$B$4:$H$24</definedName>
    <definedName name="_xlnm.Print_Area" localSheetId="0">'العمليات'!$A1:$W27</definedName>
    <definedName name="_xlnm.Print_Area" localSheetId="1">'DYLX'!$A1:$W64</definedName>
    <definedName name="_xlnm.Print_Titles" localSheetId="1">'DYLX'!$1:$5</definedName>
    <definedName name="_xlnm.Print_Area" localSheetId="2">'BEC(1)'!$A1:$X53</definedName>
    <definedName name="_xlnm.Print_Titles" localSheetId="2">'BEC(1)'!$1:$5</definedName>
    <definedName name="_xlnm.Print_Area" localSheetId="3">'BEC(2)'!$A1:$X53</definedName>
    <definedName name="_xlnm.Print_Titles" localSheetId="3">'BEC(2)'!$1:$5</definedName>
    <definedName name="_xlnm.Print_Area" localSheetId="4">'BEC(3)'!$A1:$X55</definedName>
    <definedName name="_xlnm.Print_Titles" localSheetId="4">'BEC(3)'!$1:$5</definedName>
    <definedName name="_xlnm.Print_Area" localSheetId="5">'BEC(4)'!$A1:$X60</definedName>
    <definedName name="_xlnm.Print_Titles" localSheetId="5">'BEC(4)'!$1:$5</definedName>
    <definedName name="_xlnm.Print_Area" localSheetId="6">'BEC5'!$A1:$X62</definedName>
    <definedName name="_xlnm.Print_Titles" localSheetId="6">'BEC5'!$1:$5</definedName>
    <definedName name="_xlnm.Print_Area" localSheetId="7">'BEC (6)'!$A1:$X65</definedName>
    <definedName name="_xlnm.Print_Titles" localSheetId="7">'BEC (6)'!$1:$5</definedName>
    <definedName name="_xlnm.Print_Area" localSheetId="8">'BEC (7)'!$A1:$X68</definedName>
    <definedName name="_xlnm.Print_Titles" localSheetId="8">'BEC (7)'!$1:$5</definedName>
    <definedName name="_xlnm.Print_Area" localSheetId="9">'BEC (1)'!$A1:$U62</definedName>
    <definedName name="_xlnm.Print_Titles" localSheetId="9">'BEC (1)'!$1:$5</definedName>
    <definedName name="_xlnm.Print_Area" localSheetId="10">'BEC (1-2026)'!$A1:$V33</definedName>
    <definedName name="_xlnm.Print_Titles" localSheetId="10">'BEC (1-2026)'!$1:$5</definedName>
    <definedName name="_xlnm.Print_Area" localSheetId="11">'BEC (1-2025) (3)'!$A1:$Y63</definedName>
    <definedName name="_xlnm.Print_Titles" localSheetId="11">'BEC (1-2025) (3)'!$1:$5</definedName>
    <definedName name="_xlnm.Print_Area" localSheetId="12">'BEC (1-2025) (2)'!$A1:$X64</definedName>
    <definedName name="_xlnm.Print_Titles" localSheetId="12">'BEC (1-2025) (2)'!$1:$5</definedName>
    <definedName name="_xlnm.Print_Area" localSheetId="13">'BEC (jan)'!$A1:$X62</definedName>
    <definedName name="_xlnm.Print_Titles" localSheetId="13">'BEC (jan)'!$1:$5</definedName>
    <definedName name="_xlnm.Print_Area" localSheetId="14">'BEC (9)'!$A1:$X69</definedName>
    <definedName name="_xlnm.Print_Titles" localSheetId="14">'BEC (9)'!$1:$5</definedName>
    <definedName name="_xlnm.Print_Area" localSheetId="15">'Admin 1 (2)'!$A1:$T68</definedName>
  </definedNames>
  <calcPr calcId="171027"/>
</workbook>
</file>

<file path=xl/sharedStrings.xml><?xml version="1.0" encoding="utf-8"?>
<sst xmlns="http://schemas.openxmlformats.org/spreadsheetml/2006/main" count="3779" uniqueCount="354">
  <si>
    <t xml:space="preserve">جمعية بصائر الخيرية </t>
  </si>
  <si>
    <t>May 2024 Payroll Report</t>
  </si>
  <si>
    <t xml:space="preserve"> Department / Operation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</si>
  <si>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</si>
  <si>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</si>
  <si>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</si>
  <si>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</si>
  <si>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Location
الموقع</t>
  </si>
  <si>
    <t xml:space="preserve">Position
الوظيفة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</si>
  <si>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</si>
  <si>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</si>
  <si>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</si>
  <si>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</si>
  <si>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</si>
  <si>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</si>
  <si>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</si>
  <si>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</si>
  <si>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</si>
  <si>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</si>
  <si>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KWD
بدل سكن د.ك</t>
  </si>
  <si>
    <t xml:space="preserve">Transportation allowance
KWD
بدل مواصلات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</si>
  <si>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</si>
  <si>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</si>
  <si>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</si>
  <si>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</si>
  <si>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</si>
  <si>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Total</t>
  </si>
  <si>
    <t xml:space="preserve">الجمعية الكويتية للدسلكسيا </t>
  </si>
  <si>
    <t xml:space="preserve"> Department / HR</t>
  </si>
  <si>
    <t xml:space="preserve">Work permit salary         راتب اذن العمل </t>
  </si>
  <si>
    <t>Salary return      مرتجع راتب</t>
  </si>
  <si>
    <t xml:space="preserve">housing allowance 
KWD
بدل سكن د.ك</t>
  </si>
  <si>
    <t>عيد حسين الخلف</t>
  </si>
  <si>
    <t>مهندس كمبيوتر</t>
  </si>
  <si>
    <t xml:space="preserve">شيخ اللاباكاش شيخ قاسم </t>
  </si>
  <si>
    <t>سائق</t>
  </si>
  <si>
    <t xml:space="preserve">سليمي دواجو </t>
  </si>
  <si>
    <t>طباخ</t>
  </si>
  <si>
    <t>جمال عبد الله الجمعة</t>
  </si>
  <si>
    <t>رئيس قسم الشئون الادارية</t>
  </si>
  <si>
    <t>رشا مصطفى</t>
  </si>
  <si>
    <t>ماريبيل فلورانس</t>
  </si>
  <si>
    <t>إيناس صفوت زيدان</t>
  </si>
  <si>
    <t>معالجة لغة إنجليزية</t>
  </si>
  <si>
    <t>مشاعل عبدالله قريطع</t>
  </si>
  <si>
    <t>المالية</t>
  </si>
  <si>
    <t xml:space="preserve">مي حسن صابر </t>
  </si>
  <si>
    <t xml:space="preserve">مكتب رئيس مجلس الإدارة </t>
  </si>
  <si>
    <t>ميمونة  عبد الوهاب الضويحي</t>
  </si>
  <si>
    <t>زينب ضاحي شنداخ</t>
  </si>
  <si>
    <t>معالجة لغة عربية</t>
  </si>
  <si>
    <t xml:space="preserve">إسراء نعيم فيصل قطان </t>
  </si>
  <si>
    <t>سارة محمد ساكت صغير</t>
  </si>
  <si>
    <t>السيد نبيل رمضان</t>
  </si>
  <si>
    <t>مندوب</t>
  </si>
  <si>
    <t>سايد هافسين بوثيا</t>
  </si>
  <si>
    <t>فني كمبيوتر</t>
  </si>
  <si>
    <t>*</t>
  </si>
  <si>
    <t>محمد جاهانجير علم</t>
  </si>
  <si>
    <t>عامل</t>
  </si>
  <si>
    <t>محمد عبده علي عبده</t>
  </si>
  <si>
    <t>إستقبال</t>
  </si>
  <si>
    <t>هنوف حسن علي القحطاني</t>
  </si>
  <si>
    <t>عهود عايد نايف دريب</t>
  </si>
  <si>
    <t xml:space="preserve">حذيفة وارحيم </t>
  </si>
  <si>
    <t>منسق إداري</t>
  </si>
  <si>
    <t>حسن  سعد حسن محمد</t>
  </si>
  <si>
    <t>حارس</t>
  </si>
  <si>
    <t xml:space="preserve">سانتا  شانمو جام </t>
  </si>
  <si>
    <t>عاملة</t>
  </si>
  <si>
    <t>هاريثا كومي بيبنشالاياه</t>
  </si>
  <si>
    <t xml:space="preserve">راني باسوفالا ادهي ريدي افولا </t>
  </si>
  <si>
    <t>فين كاتا سيفاكومارا جورامكوندا</t>
  </si>
  <si>
    <t xml:space="preserve">أنس عبد الصبور عبد القاسم </t>
  </si>
  <si>
    <t>رانيا علي  عبد العزيز طه</t>
  </si>
  <si>
    <t>ندى زياد بكور</t>
  </si>
  <si>
    <t>أخصائية تشخيص مساعدة</t>
  </si>
  <si>
    <t>ابتسام محمد المحسن</t>
  </si>
  <si>
    <t>معالجة رياضيات</t>
  </si>
  <si>
    <t xml:space="preserve">علي خالد هايف المطيري </t>
  </si>
  <si>
    <t>رشده داغداس كلالاغان</t>
  </si>
  <si>
    <t>سميحه راجي جروان المجالي</t>
  </si>
  <si>
    <t>أخصائية</t>
  </si>
  <si>
    <t>روضة خالد احمد تاجي</t>
  </si>
  <si>
    <t>منار فيصل  فيصل عبد الرزاق فياض</t>
  </si>
  <si>
    <t>نسيبة  فرحان محمد</t>
  </si>
  <si>
    <t>سيف إسلام ام دي كرم علي</t>
  </si>
  <si>
    <t>سوريكها جورامكوندا سونكارا</t>
  </si>
  <si>
    <t>صلاح عثمان سيد احمد</t>
  </si>
  <si>
    <t>عثمان  محمد بهلول  تغيان</t>
  </si>
  <si>
    <t>حسين العوايشه</t>
  </si>
  <si>
    <t>احمد قطف</t>
  </si>
  <si>
    <t>أنور صادق على عبد اللطيف</t>
  </si>
  <si>
    <t xml:space="preserve">أحمد سمير حوران </t>
  </si>
  <si>
    <t>نسمة عبد الله علي ناجي</t>
  </si>
  <si>
    <t>أحمد عبدالفضيل أبوزيد</t>
  </si>
  <si>
    <t>عماد يوسف عبد الله الشطي</t>
  </si>
  <si>
    <t>الادارة العامة</t>
  </si>
  <si>
    <t>اداري</t>
  </si>
  <si>
    <t>طه فتحي عبدالعظيم</t>
  </si>
  <si>
    <t>مقر الفردوس</t>
  </si>
  <si>
    <t>مشاريع</t>
  </si>
  <si>
    <t>سكرتير تنفيذي</t>
  </si>
  <si>
    <t>السيد علي عطالله السيد</t>
  </si>
  <si>
    <t>مدير مكتب رئيس مجلس الادارة</t>
  </si>
  <si>
    <t>عبدالرحمن عبدالحميد</t>
  </si>
  <si>
    <t>لجنة البصيرة</t>
  </si>
  <si>
    <t>سكرتير لجنة البصيرة</t>
  </si>
  <si>
    <t>محمود حسن قاسم البعداني</t>
  </si>
  <si>
    <t>مقر الصليبية</t>
  </si>
  <si>
    <t>تسويق</t>
  </si>
  <si>
    <t xml:space="preserve">قناوي فؤاد عبد الرحمن </t>
  </si>
  <si>
    <t>سمير حسين محمد جنيدي</t>
  </si>
  <si>
    <t>سكرتيرفى قطاع المشاريع الخارجية</t>
  </si>
  <si>
    <t>محمد حسين جولفاس ميا</t>
  </si>
  <si>
    <t>جاهانجر عليم بيباري ميزانوس</t>
  </si>
  <si>
    <t>مقر صباح الاحمد</t>
  </si>
  <si>
    <t>سهام محمد سعود بتال</t>
  </si>
  <si>
    <t>رئيس وحدة الاستقبال للنساء</t>
  </si>
  <si>
    <t xml:space="preserve">يحيى محمد هشام لعل محمد </t>
  </si>
  <si>
    <t>اعلام</t>
  </si>
  <si>
    <t>فني اعلام</t>
  </si>
  <si>
    <t>فيصل عبد الرزاق بدر</t>
  </si>
  <si>
    <t>سكرتير ( الخط الساخن )</t>
  </si>
  <si>
    <t>نشوى محمد رضا</t>
  </si>
  <si>
    <t xml:space="preserve">سكرتارية اللجنة النسائية </t>
  </si>
  <si>
    <t xml:space="preserve">أشرف عبد الصبور </t>
  </si>
  <si>
    <t xml:space="preserve">إستقبال فرع صباح الأحمد </t>
  </si>
  <si>
    <t>عبدالملك قاسم حميد العشاري</t>
  </si>
  <si>
    <t xml:space="preserve">نواف فاضل حسن </t>
  </si>
  <si>
    <t>شامية إبراهيم عبد المعطي  محمد الشامي</t>
  </si>
  <si>
    <t>مقر ام الهيمان</t>
  </si>
  <si>
    <t xml:space="preserve">إبراهيم غازي النجدي </t>
  </si>
  <si>
    <t xml:space="preserve">مشرف قطاع العمل الداخلي </t>
  </si>
  <si>
    <t>حمد زهير عبد السلام الشيخ</t>
  </si>
  <si>
    <t xml:space="preserve">مشرف مركز الأمل </t>
  </si>
  <si>
    <t xml:space="preserve">خيري عبداللاه عبد الرحيم محمد </t>
  </si>
  <si>
    <t xml:space="preserve">حارس مركز الأمل </t>
  </si>
  <si>
    <t>مشعل جابر سلطان ناصر</t>
  </si>
  <si>
    <t xml:space="preserve">مركز الأمل </t>
  </si>
  <si>
    <t xml:space="preserve">شيخه صباح سلمان شاهر </t>
  </si>
  <si>
    <t>مسجد بتلة الخرينج</t>
  </si>
  <si>
    <t xml:space="preserve">عبير صباح سلمان شاهر </t>
  </si>
  <si>
    <t>أمه الله مريم مليلي</t>
  </si>
  <si>
    <t>كوباما ساترام سوبارودو</t>
  </si>
  <si>
    <t>ساري كوب</t>
  </si>
  <si>
    <t>ويب سايت</t>
  </si>
  <si>
    <t>نجمة صالح شريعة</t>
  </si>
  <si>
    <t xml:space="preserve">ياسر عبد الغفور حاجي محمد </t>
  </si>
  <si>
    <t xml:space="preserve">محمد حزام ناجي الخضر </t>
  </si>
  <si>
    <t xml:space="preserve">محمد عبد الرحمن أحمد </t>
  </si>
  <si>
    <t xml:space="preserve">عامل صحي </t>
  </si>
  <si>
    <t xml:space="preserve">عمرو أحمد عبد الله عبد الحافظ </t>
  </si>
  <si>
    <t>كهربائي</t>
  </si>
  <si>
    <t>سالم مشعان النايف</t>
  </si>
  <si>
    <t>أحمد محمود عبد الرحيم حسن</t>
  </si>
  <si>
    <t>مالي</t>
  </si>
  <si>
    <t>مدقق حسابات</t>
  </si>
  <si>
    <t>عبد النور محمد عبد الواحد</t>
  </si>
  <si>
    <t>محمد سعيد كامل عثمان</t>
  </si>
  <si>
    <t>محاسب</t>
  </si>
  <si>
    <t>طارق محمد محمود أدريس</t>
  </si>
  <si>
    <t>مدير مالي</t>
  </si>
  <si>
    <t>بسام السيد محمد بدوي شطا</t>
  </si>
  <si>
    <t>رئيس حسابات</t>
  </si>
  <si>
    <t>وليد خالد عبد النبي محمد</t>
  </si>
  <si>
    <t>مشاري الريض عويد خضير</t>
  </si>
  <si>
    <t>إستقبال الفردوس</t>
  </si>
  <si>
    <t>إيمان أحمد الشعراوى</t>
  </si>
  <si>
    <t>أسماء عبد النبى ابراهيم</t>
  </si>
  <si>
    <t>عمران احمد الناطور</t>
  </si>
  <si>
    <t>اقامة</t>
  </si>
  <si>
    <t>أنور سعيد عسكر عوض</t>
  </si>
  <si>
    <t>دجلب</t>
  </si>
  <si>
    <t>Feb,2024 staff salaries</t>
  </si>
  <si>
    <t>اسرافول أمدي مصطفى</t>
  </si>
  <si>
    <t xml:space="preserve">إيمان حامد الرمضان </t>
  </si>
  <si>
    <t>عبدالله المبارك</t>
  </si>
  <si>
    <t xml:space="preserve">إستقبال عبد الله المبارك </t>
  </si>
  <si>
    <t xml:space="preserve">رحيما بيجوم ام دي شابان مياه </t>
  </si>
  <si>
    <t xml:space="preserve">عاملة عبد الله المبارك </t>
  </si>
  <si>
    <t>محمد متعب رواف محمد</t>
  </si>
  <si>
    <t>صلاح عثمان سيد احمد عبدالمطلب</t>
  </si>
  <si>
    <t>عمليات</t>
  </si>
  <si>
    <t>قناوي فؤاد محمد عبدالرحمن</t>
  </si>
  <si>
    <t>يحيى محمد هشام لعل محمد</t>
  </si>
  <si>
    <t>نشوى محمد رضا السيد عمر عالية</t>
  </si>
  <si>
    <t>اشرف عبدالصبور</t>
  </si>
  <si>
    <t>نواف فاضل حسن فزع</t>
  </si>
  <si>
    <t>محمد عبدالرحمن احمد عبدالرحمن</t>
  </si>
  <si>
    <t>عمرو احمد عبدالله عبدالحافظ</t>
  </si>
  <si>
    <t>عبد النور محمد عبد الواحد قاسم</t>
  </si>
  <si>
    <t>نهى صوفي عبد الظاهر علي</t>
  </si>
  <si>
    <t>أحلام حمود عبد الولي الطيري</t>
  </si>
  <si>
    <t>محفظة ومشرفة عبد الله المبارك</t>
  </si>
  <si>
    <t>عبد الله حمد سليم صالح</t>
  </si>
  <si>
    <t>مشرف مركز الأمل</t>
  </si>
  <si>
    <t>ريم هليل سلمان الشمري</t>
  </si>
  <si>
    <t>مشرفة عبد الله المبارك</t>
  </si>
  <si>
    <t>خلود نجر جزاء العتيبي</t>
  </si>
  <si>
    <t>مصممة عبد الله المبارك</t>
  </si>
  <si>
    <t>ايمان احمد ابو المعاطي احمد الشعراوي</t>
  </si>
  <si>
    <t>أسماء عبد النبي ابراهيم السيد</t>
  </si>
  <si>
    <t>انور سعيد عسكر عوض</t>
  </si>
  <si>
    <t>PAYMENT METHOUD</t>
  </si>
  <si>
    <t>CHQ</t>
  </si>
  <si>
    <t>BEC-000178</t>
  </si>
  <si>
    <t>BANK</t>
  </si>
  <si>
    <t>BEC-000418</t>
  </si>
  <si>
    <t>BEC-000185</t>
  </si>
  <si>
    <t>BEC-000198</t>
  </si>
  <si>
    <t>BEC-000190</t>
  </si>
  <si>
    <t>BEC-000191</t>
  </si>
  <si>
    <t>فيصل عبد الرزاق بدر فياض</t>
  </si>
  <si>
    <t>BEC-000192</t>
  </si>
  <si>
    <t>BEC-000376</t>
  </si>
  <si>
    <t>BEC-000517</t>
  </si>
  <si>
    <t>BEC-000674</t>
  </si>
  <si>
    <t>حمد زهير عبدالسلام الشيخ</t>
  </si>
  <si>
    <t>BEC-000114</t>
  </si>
  <si>
    <t>شيخه صباح سلمان شاهر</t>
  </si>
  <si>
    <t>BEC-000115</t>
  </si>
  <si>
    <t>عبير صباح سلمان شاهر</t>
  </si>
  <si>
    <t>BEC-001319</t>
  </si>
  <si>
    <t>نجمه صالح شريعه ماجد</t>
  </si>
  <si>
    <t>BEC-001257</t>
  </si>
  <si>
    <t>BEC-001685</t>
  </si>
  <si>
    <t>BEC-001841</t>
  </si>
  <si>
    <t>BEC-001163</t>
  </si>
  <si>
    <t>BEC-001857</t>
  </si>
  <si>
    <t>BEC-001858</t>
  </si>
  <si>
    <t>BEC-001859</t>
  </si>
  <si>
    <t>وليد خالد عبدالنبي محمد</t>
  </si>
  <si>
    <t>BEC-001860</t>
  </si>
  <si>
    <t>شيمه عادل بنيه العجمي</t>
  </si>
  <si>
    <t>عبد الغفار جمال أبو العلا خميس</t>
  </si>
  <si>
    <t>الصحي</t>
  </si>
  <si>
    <t>BEC-000195</t>
  </si>
  <si>
    <t>BEC-000196</t>
  </si>
  <si>
    <t>BEC-001161</t>
  </si>
  <si>
    <t>BEC-001405</t>
  </si>
  <si>
    <t>June 2024 Payroll Report</t>
  </si>
  <si>
    <t>طه فتحى عبدالعظيم محمد</t>
  </si>
  <si>
    <t>BTR</t>
  </si>
  <si>
    <t xml:space="preserve">السيد على عطالله السيد </t>
  </si>
  <si>
    <t xml:space="preserve">عبد الرحمن عبد الحميد </t>
  </si>
  <si>
    <t xml:space="preserve">سالم مشعان النايف </t>
  </si>
  <si>
    <t>محمد سعيد كامل عتمان</t>
  </si>
  <si>
    <t>سافوج محمد فريد مياه</t>
  </si>
  <si>
    <t>رحيما بيجوم أم دي شابان مياه</t>
  </si>
  <si>
    <t>شيمه عادل بينه العجمي</t>
  </si>
  <si>
    <t>محمد سيد أحمد مراد</t>
  </si>
  <si>
    <t>BEC-001976</t>
  </si>
  <si>
    <t>سليمان عبد الحميد سليمان</t>
  </si>
  <si>
    <t>شادي ياسين أحمد الطراونة</t>
  </si>
  <si>
    <t>July 2024 Payroll Report</t>
  </si>
  <si>
    <t>BEC-000378</t>
  </si>
  <si>
    <t>BEC-000179</t>
  </si>
  <si>
    <t>BEC-000189</t>
  </si>
  <si>
    <t>BEC-000180</t>
  </si>
  <si>
    <t>BEC-000182</t>
  </si>
  <si>
    <t>BEC-000187</t>
  </si>
  <si>
    <t>BEC-001024</t>
  </si>
  <si>
    <t>BEC-000641</t>
  </si>
  <si>
    <t>BEC-001406</t>
  </si>
  <si>
    <t>BEC-000750</t>
  </si>
  <si>
    <t>صبري سعيد محمود محمد</t>
  </si>
  <si>
    <t>BEC-000966</t>
  </si>
  <si>
    <t>BEC-001723</t>
  </si>
  <si>
    <t>BEC-000214</t>
  </si>
  <si>
    <t>BEC-001191</t>
  </si>
  <si>
    <t>BEC-001476</t>
  </si>
  <si>
    <t>BEC-001466</t>
  </si>
  <si>
    <t>BEC-001679</t>
  </si>
  <si>
    <t>BEC-001840</t>
  </si>
  <si>
    <t>BEC-002035</t>
  </si>
  <si>
    <t>BEC-002045</t>
  </si>
  <si>
    <t>BEC-001916</t>
  </si>
  <si>
    <t>BEC-001917</t>
  </si>
  <si>
    <t>BEC-001696</t>
  </si>
  <si>
    <t>BEC-002002</t>
  </si>
  <si>
    <t>BEC-002003</t>
  </si>
  <si>
    <t>BEC-000546</t>
  </si>
  <si>
    <t>BEC-001920</t>
  </si>
  <si>
    <t>BEC-001927</t>
  </si>
  <si>
    <t>BEC-002033</t>
  </si>
  <si>
    <t>BEC-002052</t>
  </si>
  <si>
    <t>BEC-002048</t>
  </si>
  <si>
    <t>BEC-002078</t>
  </si>
  <si>
    <t>فجر منصور غازي ظاهر</t>
  </si>
  <si>
    <t>BEC-002036</t>
  </si>
  <si>
    <t>ام دي محي الدين</t>
  </si>
  <si>
    <t>January 2025 Payroll Report</t>
  </si>
  <si>
    <t>BEC-002143</t>
  </si>
  <si>
    <t>درية محمد الدايداموني ابراهيم احمد</t>
  </si>
  <si>
    <t>BEC-002113</t>
  </si>
  <si>
    <t>أبوبكر سامي علي عبدالصبور</t>
  </si>
  <si>
    <t>BEC-002132</t>
  </si>
  <si>
    <t>حصة علي محمد عامر</t>
  </si>
  <si>
    <t>BEC-002142</t>
  </si>
  <si>
    <t>محمد محمود احمد ابراهيم</t>
  </si>
  <si>
    <t>مدخل بيانات</t>
  </si>
  <si>
    <t>جمعية بصائر الخيرية  Basaier Charity</t>
  </si>
  <si>
    <t>June 2026 Payroll Report</t>
  </si>
  <si>
    <t xml:space="preserve">Paid leave Days
اجازات مدفوعة</t>
  </si>
  <si>
    <t>The amount scheduled to pay</t>
  </si>
  <si>
    <t>Method of payment</t>
  </si>
  <si>
    <t>REFUND SALARY</t>
  </si>
  <si>
    <t/>
  </si>
  <si>
    <t>Emp</t>
  </si>
  <si>
    <t>Bank</t>
  </si>
  <si>
    <t>Prepared by:</t>
  </si>
  <si>
    <t>Checked by:</t>
  </si>
  <si>
    <t>Approved by:</t>
  </si>
  <si>
    <t>February 2025 Payroll Report</t>
  </si>
  <si>
    <t>BRANCH</t>
  </si>
  <si>
    <t>DEPARTMENT</t>
  </si>
  <si>
    <t>Bank trandfer</t>
  </si>
  <si>
    <t>Check</t>
  </si>
  <si>
    <t>حولي</t>
  </si>
  <si>
    <t>مكتب المدير العام</t>
  </si>
  <si>
    <t>الفردوس</t>
  </si>
  <si>
    <t xml:space="preserve">أدارة المشاريع الخارجية </t>
  </si>
  <si>
    <t>مكتب رئيس مجلس الادارة</t>
  </si>
  <si>
    <t>إدارة الدعوة والتعليم</t>
  </si>
  <si>
    <t xml:space="preserve">مركز الامل </t>
  </si>
  <si>
    <t>إدارة حلقات التحفيظ</t>
  </si>
  <si>
    <t>حولى</t>
  </si>
  <si>
    <t>إدارة الموارد البشرية</t>
  </si>
  <si>
    <t xml:space="preserve">إدارة المشاريع الخارجية </t>
  </si>
  <si>
    <t>غرب عبدالله المبارك</t>
  </si>
  <si>
    <t>إدارة غرب عبدالله المبارك</t>
  </si>
  <si>
    <t xml:space="preserve">إدارة الشئون الاعلامية </t>
  </si>
  <si>
    <t>إدارة العلاقات العامة</t>
  </si>
  <si>
    <t xml:space="preserve">صباح الأحمد </t>
  </si>
  <si>
    <t>إدارة الافرع</t>
  </si>
  <si>
    <t>أم الهيمان</t>
  </si>
  <si>
    <t xml:space="preserve">إدارة مركز حفصة </t>
  </si>
  <si>
    <t>الرئيسي</t>
  </si>
  <si>
    <t>إدارة المشاريع الموسمية</t>
  </si>
  <si>
    <t>إدارة مركز الامل</t>
  </si>
  <si>
    <t xml:space="preserve">مسجد بتله </t>
  </si>
  <si>
    <t xml:space="preserve">إدارة المراكز الشبابية </t>
  </si>
  <si>
    <t xml:space="preserve">الادارة العامة </t>
  </si>
  <si>
    <t>ادارة المشاريع الموسمية</t>
  </si>
  <si>
    <t>إدارة الموارد المالية</t>
  </si>
  <si>
    <t>اقامة فقط</t>
  </si>
  <si>
    <t>BANK TRANSFER</t>
  </si>
  <si>
    <t>August 2024 Payroll Report</t>
  </si>
  <si>
    <t>BEC-002111</t>
  </si>
  <si>
    <t>BEC-002095</t>
  </si>
  <si>
    <t>ابو بكر سامي علي عبدالصبور</t>
  </si>
  <si>
    <t xml:space="preserve">Actual Salary  راتب فعلي </t>
  </si>
  <si>
    <t>Salary return  مرتجع راتب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</si>
</sst>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32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26"/>
      <name val="Times New Roman"/>
    </font>
    <font>
      <b/>
      <u/>
      <color theme="1"/>
      <family val="1"/>
      <sz val="24"/>
      <name val="Times New Roman"/>
    </font>
    <font>
      <b/>
      <u/>
      <color theme="1"/>
      <family val="1"/>
      <sz val="20"/>
      <name val="Times New Roman"/>
    </font>
    <font>
      <color theme="1"/>
      <family val="1"/>
      <sz val="12"/>
      <name val="Times New Roman"/>
    </font>
    <font>
      <b/>
      <family val="1"/>
      <sz val="16"/>
      <name val="Times New Roman"/>
    </font>
    <font>
      <b/>
      <u/>
      <color theme="1"/>
      <family val="1"/>
      <sz val="16"/>
      <name val="Times New Roman"/>
    </font>
    <font>
      <b/>
      <color theme="1"/>
      <family val="2"/>
      <scheme val="minor"/>
      <sz val="16"/>
      <name val="Calibri"/>
    </font>
    <font>
      <b/>
      <color rgb="FF002060"/>
      <family val="2"/>
      <sz val="16"/>
      <name val="Microsoft Sans Serif"/>
    </font>
    <font>
      <b/>
      <color rgb="FF3320EC"/>
      <family val="1"/>
      <sz val="16"/>
      <name val="Times New Roman"/>
    </font>
    <font>
      <b/>
      <family val="1"/>
      <sz val="20"/>
      <name val="Times New Roman"/>
    </font>
    <font>
      <b/>
      <color theme="1"/>
      <family val="1"/>
      <sz val="16"/>
      <name val="Times New Roman"/>
    </font>
    <font>
      <family val="1"/>
      <sz val="11"/>
      <name val="Times New Roman"/>
    </font>
    <font>
      <b/>
      <family val="2"/>
      <scheme val="minor"/>
      <sz val="16"/>
      <name val="Calibri"/>
    </font>
    <font>
      <b/>
      <family val="2"/>
      <sz val="16"/>
      <name val="Microsoft Sans Serif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22"/>
      <name val="Calibri"/>
    </font>
    <font>
      <b/>
      <color theme="1"/>
      <family val="2"/>
      <scheme val="minor"/>
      <sz val="20"/>
      <name val="Calibri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u/>
      <color theme="1"/>
      <family val="1"/>
      <sz val="14"/>
      <name val="Times New Roman"/>
    </font>
    <font>
      <b/>
      <color rgb="FFFF0000"/>
      <family val="1"/>
      <sz val="16"/>
      <name val="Times New Roman"/>
    </font>
    <font>
      <b/>
      <color rgb="FFFF0000"/>
      <family val="2"/>
      <scheme val="minor"/>
      <sz val="16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rgb="FFFF0000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1"/>
      <sz val="2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medium"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medium"/>
      <top/>
      <bottom style="medium"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/>
      <right style="medium"/>
      <top style="medium"/>
      <bottom style="medium"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6" fillId="4" borderId="11" xfId="0" applyNumberFormat="1" applyFont="1" applyFill="1" applyBorder="1" applyAlignment="1">
      <alignment horizontal="center" vertical="center" wrapText="1"/>
    </xf>
    <xf numFmtId="49" fontId="8" fillId="4" borderId="11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165" fontId="6" fillId="4" borderId="10" xfId="0" applyNumberFormat="1" applyFont="1" applyFill="1" applyBorder="1" applyAlignment="1">
      <alignment horizontal="center" vertical="center" wrapText="1"/>
    </xf>
    <xf numFmtId="165" fontId="6" fillId="4" borderId="11" xfId="0" applyNumberFormat="1" applyFont="1" applyFill="1" applyBorder="1" applyAlignment="1">
      <alignment horizontal="center" vertical="center" wrapText="1"/>
    </xf>
    <xf numFmtId="166" fontId="9" fillId="4" borderId="11" xfId="0" applyNumberFormat="1" applyFont="1" applyFill="1" applyBorder="1" applyAlignment="1">
      <alignment horizontal="center" vertical="center"/>
    </xf>
    <xf numFmtId="165" fontId="10" fillId="4" borderId="11" xfId="0" applyNumberFormat="1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 applyAlignment="1">
      <alignment horizontal="center" vertical="center" wrapText="1"/>
    </xf>
    <xf numFmtId="165" fontId="6" fillId="4" borderId="13" xfId="0" applyNumberFormat="1" applyFont="1" applyFill="1" applyBorder="1" applyAlignment="1">
      <alignment horizontal="center" vertical="center" wrapText="1"/>
    </xf>
    <xf numFmtId="165" fontId="6" fillId="4" borderId="14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right" vertical="center" wrapText="1" readingOrder="2"/>
    </xf>
    <xf numFmtId="0" fontId="6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4" fontId="6" fillId="4" borderId="16" xfId="0" applyNumberFormat="1" applyFont="1" applyFill="1" applyBorder="1" applyAlignment="1">
      <alignment horizontal="center" vertical="center" wrapText="1"/>
    </xf>
    <xf numFmtId="49" fontId="8" fillId="4" borderId="16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165" fontId="6" fillId="4" borderId="16" xfId="0" applyNumberFormat="1" applyFont="1" applyFill="1" applyBorder="1" applyAlignment="1">
      <alignment horizontal="center" vertical="center" wrapText="1"/>
    </xf>
    <xf numFmtId="166" fontId="9" fillId="4" borderId="16" xfId="0" applyNumberFormat="1" applyFont="1" applyFill="1" applyBorder="1" applyAlignment="1">
      <alignment horizontal="center" vertical="center"/>
    </xf>
    <xf numFmtId="165" fontId="11" fillId="4" borderId="18" xfId="0" applyNumberFormat="1" applyFont="1" applyFill="1" applyBorder="1" applyAlignment="1">
      <alignment horizontal="center" vertical="center" wrapText="1"/>
    </xf>
    <xf numFmtId="165" fontId="6" fillId="4" borderId="15" xfId="0" applyNumberFormat="1" applyFont="1" applyFill="1" applyBorder="1" applyAlignment="1">
      <alignment horizontal="center" vertical="center" wrapText="1"/>
    </xf>
    <xf numFmtId="165" fontId="6" fillId="4" borderId="18" xfId="0" applyNumberFormat="1" applyFont="1" applyFill="1" applyBorder="1" applyAlignment="1">
      <alignment horizontal="center" vertical="center" wrapText="1"/>
    </xf>
    <xf numFmtId="165" fontId="6" fillId="4" borderId="19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 wrapText="1" readingOrder="2"/>
    </xf>
    <xf numFmtId="49" fontId="8" fillId="4" borderId="16" xfId="0" applyNumberFormat="1" applyFont="1" applyFill="1" applyBorder="1" applyAlignment="1">
      <alignment horizontal="center" vertical="center"/>
    </xf>
    <xf numFmtId="0" fontId="13" fillId="4" borderId="0" xfId="0" applyFont="1" applyFill="1"/>
    <xf numFmtId="0" fontId="14" fillId="4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49" fontId="14" fillId="4" borderId="16" xfId="0" applyNumberFormat="1" applyFont="1" applyFill="1" applyBorder="1" applyAlignment="1">
      <alignment horizontal="center" vertical="center"/>
    </xf>
    <xf numFmtId="166" fontId="15" fillId="4" borderId="16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 vertical="center" wrapText="1" readingOrder="2"/>
    </xf>
    <xf numFmtId="0" fontId="1" fillId="5" borderId="0" xfId="0" applyFont="1" applyFill="1"/>
    <xf numFmtId="0" fontId="6" fillId="5" borderId="10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64" fontId="6" fillId="5" borderId="16" xfId="0" applyNumberFormat="1" applyFont="1" applyFill="1" applyBorder="1" applyAlignment="1">
      <alignment horizontal="center" vertical="center" wrapText="1"/>
    </xf>
    <xf numFmtId="49" fontId="8" fillId="5" borderId="16" xfId="0" applyNumberFormat="1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165" fontId="6" fillId="5" borderId="15" xfId="0" applyNumberFormat="1" applyFont="1" applyFill="1" applyBorder="1" applyAlignment="1">
      <alignment horizontal="center" vertical="center" wrapText="1"/>
    </xf>
    <xf numFmtId="165" fontId="6" fillId="5" borderId="16" xfId="0" applyNumberFormat="1" applyFont="1" applyFill="1" applyBorder="1" applyAlignment="1">
      <alignment horizontal="center" vertical="center" wrapText="1"/>
    </xf>
    <xf numFmtId="166" fontId="9" fillId="5" borderId="16" xfId="0" applyNumberFormat="1" applyFont="1" applyFill="1" applyBorder="1" applyAlignment="1">
      <alignment horizontal="center" vertical="center"/>
    </xf>
    <xf numFmtId="165" fontId="11" fillId="5" borderId="18" xfId="0" applyNumberFormat="1" applyFont="1" applyFill="1" applyBorder="1" applyAlignment="1">
      <alignment horizontal="center" vertical="center" wrapText="1"/>
    </xf>
    <xf numFmtId="165" fontId="6" fillId="5" borderId="18" xfId="0" applyNumberFormat="1" applyFont="1" applyFill="1" applyBorder="1" applyAlignment="1">
      <alignment horizontal="center" vertical="center" wrapText="1"/>
    </xf>
    <xf numFmtId="165" fontId="6" fillId="5" borderId="19" xfId="0" applyNumberFormat="1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left" vertical="center" wrapText="1" readingOrder="2"/>
    </xf>
    <xf numFmtId="165" fontId="6" fillId="6" borderId="20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 readingOrder="1"/>
    </xf>
    <xf numFmtId="0" fontId="8" fillId="4" borderId="20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4" fontId="6" fillId="4" borderId="20" xfId="0" applyNumberFormat="1" applyFont="1" applyFill="1" applyBorder="1" applyAlignment="1">
      <alignment horizontal="center" vertical="center" wrapText="1"/>
    </xf>
    <xf numFmtId="49" fontId="8" fillId="4" borderId="20" xfId="0" applyNumberFormat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165" fontId="6" fillId="4" borderId="22" xfId="0" applyNumberFormat="1" applyFont="1" applyFill="1" applyBorder="1" applyAlignment="1">
      <alignment horizontal="center" vertical="center" wrapText="1"/>
    </xf>
    <xf numFmtId="165" fontId="6" fillId="4" borderId="20" xfId="0" applyNumberFormat="1" applyFont="1" applyFill="1" applyBorder="1" applyAlignment="1">
      <alignment horizontal="center" vertical="center" wrapText="1"/>
    </xf>
    <xf numFmtId="166" fontId="9" fillId="4" borderId="20" xfId="0" applyNumberFormat="1" applyFont="1" applyFill="1" applyBorder="1" applyAlignment="1">
      <alignment horizontal="center" vertical="center"/>
    </xf>
    <xf numFmtId="165" fontId="11" fillId="4" borderId="23" xfId="0" applyNumberFormat="1" applyFont="1" applyFill="1" applyBorder="1" applyAlignment="1">
      <alignment horizontal="center" vertical="center" wrapText="1"/>
    </xf>
    <xf numFmtId="165" fontId="6" fillId="4" borderId="23" xfId="0" applyNumberFormat="1" applyFont="1" applyFill="1" applyBorder="1" applyAlignment="1">
      <alignment horizontal="center" vertical="center" wrapText="1"/>
    </xf>
    <xf numFmtId="165" fontId="6" fillId="4" borderId="24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 readingOrder="2"/>
    </xf>
    <xf numFmtId="0" fontId="8" fillId="5" borderId="25" xfId="0" applyFont="1" applyFill="1" applyBorder="1" applyAlignment="1">
      <alignment horizontal="center" vertical="center"/>
    </xf>
    <xf numFmtId="164" fontId="6" fillId="5" borderId="25" xfId="0" applyNumberFormat="1" applyFont="1" applyFill="1" applyBorder="1" applyAlignment="1">
      <alignment horizontal="center" vertical="center" wrapText="1"/>
    </xf>
    <xf numFmtId="49" fontId="8" fillId="5" borderId="25" xfId="0" applyNumberFormat="1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165" fontId="6" fillId="5" borderId="22" xfId="0" applyNumberFormat="1" applyFont="1" applyFill="1" applyBorder="1" applyAlignment="1">
      <alignment horizontal="center" vertical="center" wrapText="1"/>
    </xf>
    <xf numFmtId="165" fontId="6" fillId="5" borderId="20" xfId="0" applyNumberFormat="1" applyFont="1" applyFill="1" applyBorder="1" applyAlignment="1">
      <alignment horizontal="center" vertical="center" wrapText="1"/>
    </xf>
    <xf numFmtId="166" fontId="9" fillId="5" borderId="20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 wrapText="1"/>
    </xf>
    <xf numFmtId="165" fontId="6" fillId="5" borderId="23" xfId="0" applyNumberFormat="1" applyFont="1" applyFill="1" applyBorder="1" applyAlignment="1">
      <alignment horizontal="center" vertical="center" wrapText="1"/>
    </xf>
    <xf numFmtId="165" fontId="6" fillId="5" borderId="24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 wrapText="1" readingOrder="2"/>
    </xf>
    <xf numFmtId="0" fontId="8" fillId="0" borderId="0" xfId="0" applyFont="1" applyAlignment="1">
      <alignment horizontal="center"/>
    </xf>
    <xf numFmtId="0" fontId="16" fillId="3" borderId="26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165" fontId="17" fillId="3" borderId="27" xfId="0" applyNumberFormat="1" applyFont="1" applyFill="1" applyBorder="1" applyAlignment="1">
      <alignment horizontal="center" vertical="center"/>
    </xf>
    <xf numFmtId="165" fontId="16" fillId="3" borderId="27" xfId="0" applyNumberFormat="1" applyFont="1" applyFill="1" applyBorder="1" applyAlignment="1">
      <alignment horizontal="center" vertical="center"/>
    </xf>
    <xf numFmtId="166" fontId="18" fillId="3" borderId="27" xfId="0" applyNumberFormat="1" applyFont="1" applyFill="1" applyBorder="1" applyAlignment="1">
      <alignment horizontal="center" vertical="center"/>
    </xf>
    <xf numFmtId="165" fontId="18" fillId="3" borderId="27" xfId="0" applyNumberFormat="1" applyFont="1" applyFill="1" applyBorder="1" applyAlignment="1">
      <alignment horizontal="center" vertical="center"/>
    </xf>
    <xf numFmtId="165" fontId="18" fillId="3" borderId="28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9" fillId="0" borderId="0" xfId="0" applyFont="1"/>
    <xf numFmtId="0" fontId="20" fillId="3" borderId="7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 wrapText="1"/>
    </xf>
    <xf numFmtId="164" fontId="20" fillId="3" borderId="7" xfId="0" applyNumberFormat="1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164" fontId="12" fillId="4" borderId="32" xfId="0" applyNumberFormat="1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165" fontId="6" fillId="4" borderId="32" xfId="0" applyNumberFormat="1" applyFont="1" applyFill="1" applyBorder="1" applyAlignment="1">
      <alignment horizontal="center" vertical="center" wrapText="1"/>
    </xf>
    <xf numFmtId="165" fontId="6" fillId="4" borderId="32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wrapText="1"/>
    </xf>
    <xf numFmtId="0" fontId="8" fillId="4" borderId="32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wrapText="1"/>
    </xf>
    <xf numFmtId="0" fontId="14" fillId="4" borderId="32" xfId="0" applyFont="1" applyFill="1" applyBorder="1" applyAlignment="1">
      <alignment wrapText="1" readingOrder="2"/>
    </xf>
    <xf numFmtId="166" fontId="14" fillId="4" borderId="32" xfId="0" applyNumberFormat="1" applyFont="1" applyFill="1" applyBorder="1" applyAlignment="1">
      <alignment wrapText="1" readingOrder="2"/>
    </xf>
    <xf numFmtId="165" fontId="14" fillId="4" borderId="32" xfId="0" applyNumberFormat="1" applyFont="1" applyFill="1" applyBorder="1" applyAlignment="1">
      <alignment wrapText="1" readingOrder="2"/>
    </xf>
    <xf numFmtId="0" fontId="14" fillId="0" borderId="16" xfId="0" applyFont="1" applyBorder="1" applyAlignment="1">
      <alignment horizontal="center" vertical="center" wrapText="1"/>
    </xf>
    <xf numFmtId="165" fontId="6" fillId="4" borderId="33" xfId="0" applyNumberFormat="1" applyFont="1" applyFill="1" applyBorder="1" applyAlignment="1">
      <alignment horizontal="center" vertical="center" wrapText="1"/>
    </xf>
    <xf numFmtId="165" fontId="6" fillId="4" borderId="34" xfId="0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165" fontId="6" fillId="4" borderId="35" xfId="0" applyNumberFormat="1" applyFont="1" applyFill="1" applyBorder="1" applyAlignment="1">
      <alignment horizontal="center" vertical="center" wrapText="1"/>
    </xf>
    <xf numFmtId="165" fontId="6" fillId="4" borderId="36" xfId="0" applyNumberFormat="1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wrapText="1" readingOrder="2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165" fontId="8" fillId="3" borderId="38" xfId="0" applyNumberFormat="1" applyFont="1" applyFill="1" applyBorder="1" applyAlignment="1">
      <alignment horizontal="center" vertical="center"/>
    </xf>
    <xf numFmtId="165" fontId="8" fillId="7" borderId="38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4" fillId="4" borderId="32" xfId="0" applyFont="1" applyFill="1" applyBorder="1" applyAlignment="1">
      <alignment horizontal="center" wrapText="1" readingOrder="2"/>
    </xf>
    <xf numFmtId="165" fontId="6" fillId="7" borderId="32" xfId="0" applyNumberFormat="1" applyFont="1" applyFill="1" applyBorder="1" applyAlignment="1">
      <alignment horizontal="center" vertical="center" wrapText="1"/>
    </xf>
    <xf numFmtId="165" fontId="12" fillId="4" borderId="32" xfId="0" applyNumberFormat="1" applyFont="1" applyFill="1" applyBorder="1" applyAlignment="1">
      <alignment horizontal="center" vertical="center" wrapText="1"/>
    </xf>
    <xf numFmtId="165" fontId="22" fillId="4" borderId="32" xfId="0" applyNumberFormat="1" applyFont="1" applyFill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164" fontId="6" fillId="4" borderId="32" xfId="0" applyNumberFormat="1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166" fontId="14" fillId="0" borderId="32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164" fontId="6" fillId="4" borderId="39" xfId="0" applyNumberFormat="1" applyFont="1" applyFill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 wrapText="1"/>
    </xf>
    <xf numFmtId="165" fontId="6" fillId="4" borderId="39" xfId="0" applyNumberFormat="1" applyFont="1" applyFill="1" applyBorder="1" applyAlignment="1">
      <alignment horizontal="center" vertical="center" wrapText="1"/>
    </xf>
    <xf numFmtId="165" fontId="6" fillId="4" borderId="39" xfId="0" applyNumberFormat="1" applyFont="1" applyFill="1" applyBorder="1" applyAlignment="1">
      <alignment horizontal="center" vertical="center"/>
    </xf>
    <xf numFmtId="0" fontId="14" fillId="0" borderId="39" xfId="0" applyFont="1" applyBorder="1" applyAlignment="1">
      <alignment wrapText="1"/>
    </xf>
    <xf numFmtId="165" fontId="23" fillId="3" borderId="38" xfId="0" applyNumberFormat="1" applyFont="1" applyFill="1" applyBorder="1" applyAlignment="1">
      <alignment horizontal="center" vertical="center"/>
    </xf>
    <xf numFmtId="40" fontId="6" fillId="4" borderId="32" xfId="0" applyNumberFormat="1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164" fontId="12" fillId="4" borderId="37" xfId="0" applyNumberFormat="1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 wrapText="1"/>
    </xf>
    <xf numFmtId="165" fontId="6" fillId="4" borderId="37" xfId="0" applyNumberFormat="1" applyFont="1" applyFill="1" applyBorder="1" applyAlignment="1">
      <alignment horizontal="center" vertical="center" wrapText="1"/>
    </xf>
    <xf numFmtId="165" fontId="6" fillId="4" borderId="37" xfId="0" applyNumberFormat="1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164" fontId="12" fillId="4" borderId="40" xfId="0" applyNumberFormat="1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165" fontId="6" fillId="4" borderId="40" xfId="0" applyNumberFormat="1" applyFont="1" applyFill="1" applyBorder="1" applyAlignment="1">
      <alignment horizontal="center" vertical="center" wrapText="1"/>
    </xf>
    <xf numFmtId="165" fontId="6" fillId="4" borderId="4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justify"/>
    </xf>
    <xf numFmtId="0" fontId="8" fillId="3" borderId="26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24" fillId="0" borderId="0" xfId="0" applyFont="1"/>
    <xf numFmtId="0" fontId="25" fillId="0" borderId="0" xfId="0" applyFont="1"/>
    <xf numFmtId="166" fontId="24" fillId="0" borderId="0" xfId="0" applyNumberFormat="1" applyFont="1"/>
    <xf numFmtId="0" fontId="8" fillId="7" borderId="32" xfId="0" applyFont="1" applyFill="1" applyBorder="1" applyAlignment="1">
      <alignment horizontal="center" vertical="center" wrapText="1"/>
    </xf>
    <xf numFmtId="164" fontId="12" fillId="7" borderId="32" xfId="0" applyNumberFormat="1" applyFont="1" applyFill="1" applyBorder="1" applyAlignment="1">
      <alignment horizontal="center" vertical="center" wrapText="1"/>
    </xf>
    <xf numFmtId="0" fontId="8" fillId="7" borderId="32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 wrapText="1"/>
    </xf>
    <xf numFmtId="165" fontId="6" fillId="7" borderId="32" xfId="0" applyNumberFormat="1" applyFont="1" applyFill="1" applyBorder="1" applyAlignment="1">
      <alignment horizontal="center" vertical="center"/>
    </xf>
    <xf numFmtId="0" fontId="26" fillId="0" borderId="0" xfId="0" applyFont="1"/>
    <xf numFmtId="0" fontId="22" fillId="4" borderId="32" xfId="0" applyFont="1" applyFill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7" borderId="32" xfId="0" applyFont="1" applyFill="1" applyBorder="1" applyAlignment="1">
      <alignment horizontal="center" vertical="center" wrapText="1"/>
    </xf>
    <xf numFmtId="164" fontId="22" fillId="7" borderId="32" xfId="0" applyNumberFormat="1" applyFont="1" applyFill="1" applyBorder="1" applyAlignment="1">
      <alignment horizontal="center" vertical="center" wrapText="1"/>
    </xf>
    <xf numFmtId="0" fontId="23" fillId="7" borderId="32" xfId="0" applyFont="1" applyFill="1" applyBorder="1" applyAlignment="1">
      <alignment horizontal="center" vertical="center"/>
    </xf>
    <xf numFmtId="0" fontId="22" fillId="7" borderId="32" xfId="0" applyFont="1" applyFill="1" applyBorder="1" applyAlignment="1">
      <alignment horizontal="center" vertical="center" wrapText="1"/>
    </xf>
    <xf numFmtId="165" fontId="22" fillId="7" borderId="32" xfId="0" applyNumberFormat="1" applyFont="1" applyFill="1" applyBorder="1" applyAlignment="1">
      <alignment horizontal="center" vertical="center" wrapText="1"/>
    </xf>
    <xf numFmtId="165" fontId="22" fillId="7" borderId="32" xfId="0" applyNumberFormat="1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wrapText="1" readingOrder="2"/>
    </xf>
    <xf numFmtId="166" fontId="27" fillId="0" borderId="0" xfId="0" applyNumberFormat="1" applyFont="1"/>
    <xf numFmtId="165" fontId="26" fillId="0" borderId="0" xfId="0" applyNumberFormat="1" applyFont="1"/>
    <xf numFmtId="164" fontId="22" fillId="4" borderId="32" xfId="0" applyNumberFormat="1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165" fontId="22" fillId="4" borderId="32" xfId="0" applyNumberFormat="1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 wrapText="1"/>
    </xf>
    <xf numFmtId="165" fontId="12" fillId="4" borderId="32" xfId="0" applyNumberFormat="1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wrapText="1" readingOrder="2"/>
    </xf>
    <xf numFmtId="0" fontId="0" fillId="7" borderId="0" xfId="0" applyFill="1"/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0" fillId="4" borderId="32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4" borderId="32" xfId="0" applyFont="1" applyFill="1" applyBorder="1" applyAlignment="1">
      <alignment horizontal="center" vertical="center" wrapText="1"/>
    </xf>
    <xf numFmtId="164" fontId="28" fillId="4" borderId="32" xfId="0" applyNumberFormat="1" applyFont="1" applyFill="1" applyBorder="1" applyAlignment="1">
      <alignment horizontal="center" vertical="center" wrapText="1"/>
    </xf>
    <xf numFmtId="0" fontId="25" fillId="4" borderId="32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 wrapText="1"/>
    </xf>
    <xf numFmtId="165" fontId="20" fillId="4" borderId="32" xfId="0" applyNumberFormat="1" applyFont="1" applyFill="1" applyBorder="1" applyAlignment="1">
      <alignment horizontal="center" vertical="center" wrapText="1"/>
    </xf>
    <xf numFmtId="165" fontId="28" fillId="4" borderId="32" xfId="0" applyNumberFormat="1" applyFont="1" applyFill="1" applyBorder="1" applyAlignment="1">
      <alignment horizontal="center" vertical="center" wrapText="1"/>
    </xf>
    <xf numFmtId="165" fontId="20" fillId="4" borderId="32" xfId="0" applyNumberFormat="1" applyFont="1" applyFill="1" applyBorder="1" applyAlignment="1">
      <alignment horizontal="center" vertical="center"/>
    </xf>
    <xf numFmtId="165" fontId="20" fillId="4" borderId="41" xfId="0" applyNumberFormat="1" applyFont="1" applyFill="1" applyBorder="1" applyAlignment="1">
      <alignment horizontal="center" vertical="center"/>
    </xf>
    <xf numFmtId="0" fontId="29" fillId="4" borderId="32" xfId="0" applyFont="1" applyFill="1" applyBorder="1" applyAlignment="1">
      <alignment wrapText="1" readingOrder="2"/>
    </xf>
    <xf numFmtId="0" fontId="25" fillId="0" borderId="32" xfId="0" applyFont="1" applyBorder="1" applyAlignment="1">
      <alignment horizontal="center" vertical="center" wrapText="1"/>
    </xf>
    <xf numFmtId="165" fontId="20" fillId="7" borderId="32" xfId="0" applyNumberFormat="1" applyFont="1" applyFill="1" applyBorder="1" applyAlignment="1">
      <alignment horizontal="center" vertical="center" wrapText="1"/>
    </xf>
    <xf numFmtId="0" fontId="25" fillId="7" borderId="32" xfId="0" applyFont="1" applyFill="1" applyBorder="1" applyAlignment="1">
      <alignment horizontal="center" vertical="center" wrapText="1"/>
    </xf>
    <xf numFmtId="0" fontId="28" fillId="4" borderId="32" xfId="0" applyFont="1" applyFill="1" applyBorder="1" applyAlignment="1">
      <alignment horizontal="center" vertical="center" wrapText="1"/>
    </xf>
    <xf numFmtId="0" fontId="30" fillId="4" borderId="32" xfId="0" applyFont="1" applyFill="1" applyBorder="1" applyAlignment="1">
      <alignment wrapText="1" readingOrder="2"/>
    </xf>
    <xf numFmtId="0" fontId="29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1" fontId="29" fillId="0" borderId="32" xfId="0" applyNumberFormat="1" applyFont="1" applyBorder="1" applyAlignment="1">
      <alignment horizontal="center" vertical="center"/>
    </xf>
    <xf numFmtId="166" fontId="29" fillId="0" borderId="32" xfId="0" applyNumberFormat="1" applyFont="1" applyBorder="1" applyAlignment="1">
      <alignment horizontal="center" vertical="center"/>
    </xf>
    <xf numFmtId="164" fontId="20" fillId="8" borderId="42" xfId="0" applyNumberFormat="1" applyFont="1" applyFill="1" applyBorder="1" applyAlignment="1">
      <alignment horizontal="center" vertical="center" wrapText="1"/>
    </xf>
    <xf numFmtId="0" fontId="25" fillId="3" borderId="27" xfId="0" applyFont="1" applyFill="1" applyBorder="1" applyAlignment="1">
      <alignment vertical="center"/>
    </xf>
    <xf numFmtId="165" fontId="25" fillId="3" borderId="38" xfId="0" applyNumberFormat="1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vertical="center"/>
    </xf>
    <xf numFmtId="0" fontId="8" fillId="0" borderId="0" xfId="0" applyFont="1"/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64" fontId="20" fillId="3" borderId="4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64" fontId="20" fillId="3" borderId="41" xfId="0" applyNumberFormat="1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vertical="center" wrapText="1"/>
    </xf>
    <xf numFmtId="165" fontId="12" fillId="4" borderId="37" xfId="0" applyNumberFormat="1" applyFont="1" applyFill="1" applyBorder="1" applyAlignment="1">
      <alignment horizontal="center" vertical="center" wrapText="1"/>
    </xf>
    <xf numFmtId="165" fontId="12" fillId="4" borderId="40" xfId="0" applyNumberFormat="1" applyFont="1" applyFill="1" applyBorder="1" applyAlignment="1">
      <alignment horizontal="center" vertical="center" wrapText="1"/>
    </xf>
    <xf numFmtId="1" fontId="14" fillId="0" borderId="32" xfId="0" applyNumberFormat="1" applyFont="1" applyBorder="1" applyAlignment="1">
      <alignment horizontal="center" vertical="center"/>
    </xf>
    <xf numFmtId="164" fontId="6" fillId="8" borderId="42" xfId="0" applyNumberFormat="1" applyFont="1" applyFill="1" applyBorder="1" applyAlignment="1">
      <alignment horizontal="center" vertical="center" wrapText="1"/>
    </xf>
    <xf numFmtId="164" fontId="6" fillId="8" borderId="34" xfId="0" applyNumberFormat="1" applyFont="1" applyFill="1" applyBorder="1" applyAlignment="1">
      <alignment horizontal="center" vertical="center" wrapText="1"/>
    </xf>
    <xf numFmtId="164" fontId="6" fillId="8" borderId="19" xfId="0" applyNumberFormat="1" applyFont="1" applyFill="1" applyBorder="1" applyAlignment="1">
      <alignment horizontal="center" vertical="center" wrapText="1"/>
    </xf>
    <xf numFmtId="165" fontId="12" fillId="4" borderId="39" xfId="0" applyNumberFormat="1" applyFont="1" applyFill="1" applyBorder="1" applyAlignment="1">
      <alignment horizontal="center" vertical="center" wrapText="1"/>
    </xf>
    <xf numFmtId="164" fontId="12" fillId="4" borderId="41" xfId="0" applyNumberFormat="1" applyFont="1" applyFill="1" applyBorder="1" applyAlignment="1">
      <alignment horizontal="center" vertical="center" wrapText="1"/>
    </xf>
    <xf numFmtId="164" fontId="6" fillId="4" borderId="42" xfId="0" applyNumberFormat="1" applyFont="1" applyFill="1" applyBorder="1" applyAlignment="1">
      <alignment horizontal="center" vertical="center" wrapText="1"/>
    </xf>
    <xf numFmtId="164" fontId="6" fillId="4" borderId="34" xfId="0" applyNumberFormat="1" applyFont="1" applyFill="1" applyBorder="1" applyAlignment="1">
      <alignment horizontal="center" vertical="center" wrapText="1"/>
    </xf>
    <xf numFmtId="164" fontId="6" fillId="4" borderId="19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/>
    </xf>
    <xf numFmtId="166" fontId="8" fillId="3" borderId="3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4.xml"/><Relationship Id="rId5" Type="http://schemas.openxmlformats.org/officeDocument/2006/relationships/worksheet" Target="worksheets/sheet28.xml"/><Relationship Id="rId6" Type="http://schemas.openxmlformats.org/officeDocument/2006/relationships/worksheet" Target="worksheets/sheet34.xml"/><Relationship Id="rId7" Type="http://schemas.openxmlformats.org/officeDocument/2006/relationships/worksheet" Target="worksheets/sheet35.xml"/><Relationship Id="rId8" Type="http://schemas.openxmlformats.org/officeDocument/2006/relationships/worksheet" Target="worksheets/sheet36.xml"/><Relationship Id="rId9" Type="http://schemas.openxmlformats.org/officeDocument/2006/relationships/worksheet" Target="worksheets/sheet33.xml"/><Relationship Id="rId10" Type="http://schemas.openxmlformats.org/officeDocument/2006/relationships/worksheet" Target="worksheets/sheet31.xml"/><Relationship Id="rId11" Type="http://schemas.openxmlformats.org/officeDocument/2006/relationships/worksheet" Target="worksheets/sheet37.xml"/><Relationship Id="rId12" Type="http://schemas.openxmlformats.org/officeDocument/2006/relationships/worksheet" Target="worksheets/sheet38.xml"/><Relationship Id="rId13" Type="http://schemas.openxmlformats.org/officeDocument/2006/relationships/worksheet" Target="worksheets/sheet39.xml"/><Relationship Id="rId14" Type="http://schemas.openxmlformats.org/officeDocument/2006/relationships/worksheet" Target="worksheets/sheet42.xml"/><Relationship Id="rId15" Type="http://schemas.openxmlformats.org/officeDocument/2006/relationships/worksheet" Target="worksheets/sheet44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1.xml"/><Relationship Id="rId18" Type="http://schemas.openxmlformats.org/officeDocument/2006/relationships/worksheet" Target="worksheets/sheet40.xml"/><Relationship Id="rId1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4"/>
  <sheetViews>
    <sheetView workbookViewId="0" zoomScale="40" zoomScaleNormal="40">
      <pane xSplit="9" ySplit="5" topLeftCell="J6" activePane="bottomRight" state="frozen"/>
      <selection pane="bottomRight" activeCell="U23" sqref="U23"/>
    </sheetView>
  </sheetViews>
  <sheetFormatPr defaultRowHeight="14.6" outlineLevelRow="0" outlineLevelCol="0" x14ac:dyDescent="0.4" customHeight="1"/>
  <cols>
    <col min="2" max="2" width="9.3046875" customWidth="1"/>
    <col min="3" max="3" width="15.3828125" customWidth="1"/>
    <col min="4" max="4" width="40.53515625" customWidth="1"/>
    <col min="5" max="5" width="24.69140625" style="1" customWidth="1"/>
    <col min="6" max="6" width="25.84375" customWidth="1"/>
    <col min="7" max="7" width="27.15234375" customWidth="1"/>
    <col min="8" max="8" width="26" customWidth="1"/>
    <col min="9" max="9" width="19.53515625" customWidth="1"/>
    <col min="10" max="10" width="13.84375" customWidth="1"/>
    <col min="11" max="11" width="24.84375" customWidth="1"/>
    <col min="12" max="12" width="17" customWidth="1"/>
    <col min="13" max="13" width="17.84375" customWidth="1"/>
    <col min="14" max="14" width="20" customWidth="1"/>
    <col min="15" max="15" width="27.3828125" customWidth="1"/>
    <col min="16" max="16" width="20.84375" customWidth="1"/>
    <col min="17" max="17" width="27" customWidth="1"/>
    <col min="18" max="18" width="21.3828125" customWidth="1"/>
    <col min="19" max="19" width="23.84375" customWidth="1"/>
    <col min="20" max="20" width="14.84375" customWidth="1"/>
    <col min="21" max="21" width="17.3828125" customWidth="1"/>
    <col min="22" max="22" width="25.53515625" customWidth="1"/>
    <col min="23" max="23" width="48.15234375" customWidth="1"/>
  </cols>
  <sheetData>
    <row r="1" ht="84.75" customHeight="1" spans="2:23" s="2" customFormat="1" x14ac:dyDescent="0.25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57.75" customHeight="1" spans="2:23" s="2" customFormat="1" x14ac:dyDescent="0.25"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</row>
    <row r="3" ht="41.25" customHeight="1" spans="2:23" s="2" customFormat="1" x14ac:dyDescent="0.25"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ht="59.15" customHeight="1" spans="2:23" s="12" customFormat="1" x14ac:dyDescent="0.25">
      <c r="B4" s="13" t="s">
        <v>3</v>
      </c>
      <c r="C4" s="14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4" t="s">
        <v>9</v>
      </c>
      <c r="I4" s="16" t="s">
        <v>10</v>
      </c>
      <c r="J4" s="17" t="s">
        <v>11</v>
      </c>
      <c r="K4" s="18" t="s">
        <v>12</v>
      </c>
      <c r="L4" s="19"/>
      <c r="M4" s="19"/>
      <c r="N4" s="19"/>
      <c r="O4" s="19"/>
      <c r="P4" s="19"/>
      <c r="Q4" s="20"/>
      <c r="R4" s="18" t="s">
        <v>13</v>
      </c>
      <c r="S4" s="19"/>
      <c r="T4" s="19"/>
      <c r="U4" s="20"/>
      <c r="V4" s="16" t="s">
        <v>14</v>
      </c>
      <c r="W4" s="14" t="s">
        <v>15</v>
      </c>
    </row>
    <row r="5" ht="81.75" customHeight="1" spans="2:23" s="12" customFormat="1" x14ac:dyDescent="0.25">
      <c r="B5" s="21"/>
      <c r="C5" s="22"/>
      <c r="D5" s="22"/>
      <c r="E5" s="23"/>
      <c r="F5" s="22"/>
      <c r="G5" s="21"/>
      <c r="H5" s="22"/>
      <c r="I5" s="24"/>
      <c r="J5" s="25"/>
      <c r="K5" s="14" t="s">
        <v>16</v>
      </c>
      <c r="L5" s="14" t="s">
        <v>17</v>
      </c>
      <c r="M5" s="14" t="s">
        <v>18</v>
      </c>
      <c r="N5" s="17" t="s">
        <v>19</v>
      </c>
      <c r="O5" s="17" t="s">
        <v>20</v>
      </c>
      <c r="P5" s="17" t="s">
        <v>21</v>
      </c>
      <c r="Q5" s="14" t="s">
        <v>22</v>
      </c>
      <c r="R5" s="14" t="s">
        <v>23</v>
      </c>
      <c r="S5" s="14" t="s">
        <v>24</v>
      </c>
      <c r="T5" s="14" t="s">
        <v>25</v>
      </c>
      <c r="U5" s="14" t="s">
        <v>21</v>
      </c>
      <c r="V5" s="24"/>
      <c r="W5" s="22"/>
    </row>
    <row r="6" ht="60" customHeight="1" spans="2:23" s="2" customFormat="1" x14ac:dyDescent="0.25">
      <c r="B6" s="26">
        <v>1</v>
      </c>
      <c r="C6" s="27"/>
      <c r="D6" s="28"/>
      <c r="E6" s="29"/>
      <c r="F6" s="30"/>
      <c r="G6" s="27"/>
      <c r="H6" s="27"/>
      <c r="I6" s="31">
        <v>26</v>
      </c>
      <c r="J6" s="32">
        <v>0</v>
      </c>
      <c r="K6" s="33">
        <f t="shared" ref="K6:K11" si="0">H6/26*I6</f>
        <v>0</v>
      </c>
      <c r="L6" s="34">
        <v>0</v>
      </c>
      <c r="M6" s="35">
        <v>0</v>
      </c>
      <c r="N6" s="34">
        <v>0</v>
      </c>
      <c r="O6" s="36">
        <v>0</v>
      </c>
      <c r="P6" s="34">
        <v>0</v>
      </c>
      <c r="Q6" s="37">
        <f>K6+L6+M6+N6+O6+P6</f>
        <v>0</v>
      </c>
      <c r="R6" s="33">
        <v>0</v>
      </c>
      <c r="S6" s="34">
        <v>0</v>
      </c>
      <c r="T6" s="34">
        <v>0</v>
      </c>
      <c r="U6" s="38">
        <v>0</v>
      </c>
      <c r="V6" s="39">
        <f>Q6-R6-S6-T6-U6</f>
        <v>0</v>
      </c>
      <c r="W6" s="40"/>
    </row>
    <row r="7" ht="60" customHeight="1" spans="2:23" s="2" customFormat="1" x14ac:dyDescent="0.25">
      <c r="B7" s="41">
        <v>2</v>
      </c>
      <c r="C7" s="42"/>
      <c r="D7" s="43"/>
      <c r="E7" s="44"/>
      <c r="F7" s="45"/>
      <c r="G7" s="42"/>
      <c r="H7" s="42"/>
      <c r="I7" s="46">
        <v>26</v>
      </c>
      <c r="J7" s="47">
        <v>0</v>
      </c>
      <c r="K7" s="33">
        <f t="shared" si="0"/>
        <v>0</v>
      </c>
      <c r="L7" s="48">
        <v>0</v>
      </c>
      <c r="M7" s="49">
        <v>0</v>
      </c>
      <c r="N7" s="48">
        <v>0</v>
      </c>
      <c r="O7" s="48">
        <v>0</v>
      </c>
      <c r="P7" s="48">
        <v>0</v>
      </c>
      <c r="Q7" s="50">
        <f>K7+L7+M7+N7+O7+P7</f>
        <v>0</v>
      </c>
      <c r="R7" s="51">
        <v>0</v>
      </c>
      <c r="S7" s="48">
        <v>0</v>
      </c>
      <c r="T7" s="48">
        <v>0</v>
      </c>
      <c r="U7" s="52">
        <v>0</v>
      </c>
      <c r="V7" s="53">
        <f>Q7-R7-S7-T7-U7</f>
        <v>0</v>
      </c>
      <c r="W7" s="54"/>
    </row>
    <row r="8" ht="60" customHeight="1" spans="2:23" s="2" customFormat="1" x14ac:dyDescent="0.25">
      <c r="B8" s="26">
        <v>3</v>
      </c>
      <c r="C8" s="42"/>
      <c r="D8" s="43"/>
      <c r="E8" s="44"/>
      <c r="F8" s="45"/>
      <c r="G8" s="42"/>
      <c r="H8" s="42"/>
      <c r="I8" s="46">
        <v>26</v>
      </c>
      <c r="J8" s="47">
        <v>0</v>
      </c>
      <c r="K8" s="33">
        <f t="shared" si="0"/>
        <v>0</v>
      </c>
      <c r="L8" s="48">
        <v>0</v>
      </c>
      <c r="M8" s="49">
        <v>0</v>
      </c>
      <c r="N8" s="48">
        <v>0</v>
      </c>
      <c r="O8" s="48">
        <v>0</v>
      </c>
      <c r="P8" s="48">
        <v>0</v>
      </c>
      <c r="Q8" s="50">
        <f t="shared" ref="Q8:Q19" si="1">K8+L8+M8+N8+O8+P8</f>
        <v>0</v>
      </c>
      <c r="R8" s="51">
        <v>0</v>
      </c>
      <c r="S8" s="48">
        <v>0</v>
      </c>
      <c r="T8" s="48">
        <v>0</v>
      </c>
      <c r="U8" s="52">
        <v>0</v>
      </c>
      <c r="V8" s="53">
        <f>Q8-R8-S8-T8-U8</f>
        <v>0</v>
      </c>
      <c r="W8" s="54"/>
    </row>
    <row r="9" ht="60" customHeight="1" spans="2:23" s="2" customFormat="1" x14ac:dyDescent="0.25">
      <c r="B9" s="41">
        <v>4</v>
      </c>
      <c r="C9" s="42"/>
      <c r="D9" s="43"/>
      <c r="E9" s="44"/>
      <c r="F9" s="45"/>
      <c r="G9" s="42"/>
      <c r="H9" s="42"/>
      <c r="I9" s="46">
        <v>26</v>
      </c>
      <c r="J9" s="47">
        <v>0</v>
      </c>
      <c r="K9" s="33">
        <f t="shared" si="0"/>
        <v>0</v>
      </c>
      <c r="L9" s="48">
        <v>0</v>
      </c>
      <c r="M9" s="49">
        <v>0</v>
      </c>
      <c r="N9" s="48">
        <v>0</v>
      </c>
      <c r="O9" s="48">
        <v>0</v>
      </c>
      <c r="P9" s="48">
        <v>0</v>
      </c>
      <c r="Q9" s="50">
        <f t="shared" si="1"/>
        <v>0</v>
      </c>
      <c r="R9" s="51">
        <v>0</v>
      </c>
      <c r="S9" s="48">
        <v>0</v>
      </c>
      <c r="T9" s="48">
        <v>0</v>
      </c>
      <c r="U9" s="52">
        <v>0</v>
      </c>
      <c r="V9" s="53">
        <f>Q9-R9-S9-T9-U9</f>
        <v>0</v>
      </c>
      <c r="W9" s="54"/>
    </row>
    <row r="10" ht="60" customHeight="1" spans="2:23" s="2" customFormat="1" x14ac:dyDescent="0.25">
      <c r="B10" s="26">
        <v>5</v>
      </c>
      <c r="C10" s="42"/>
      <c r="D10" s="43"/>
      <c r="E10" s="44"/>
      <c r="F10" s="55"/>
      <c r="G10" s="42"/>
      <c r="H10" s="42"/>
      <c r="I10" s="46">
        <v>26</v>
      </c>
      <c r="J10" s="47">
        <v>0</v>
      </c>
      <c r="K10" s="33">
        <f t="shared" si="0"/>
        <v>0</v>
      </c>
      <c r="L10" s="48">
        <v>0</v>
      </c>
      <c r="M10" s="49">
        <v>0</v>
      </c>
      <c r="N10" s="48">
        <v>0</v>
      </c>
      <c r="O10" s="48">
        <v>0</v>
      </c>
      <c r="P10" s="48">
        <v>0</v>
      </c>
      <c r="Q10" s="50">
        <f t="shared" si="1"/>
        <v>0</v>
      </c>
      <c r="R10" s="51">
        <v>0</v>
      </c>
      <c r="S10" s="48">
        <v>0</v>
      </c>
      <c r="T10" s="48">
        <v>0</v>
      </c>
      <c r="U10" s="52">
        <v>0</v>
      </c>
      <c r="V10" s="53">
        <f t="shared" ref="V10:V19" si="2">Q10-R10-S10-T10-U10</f>
        <v>0</v>
      </c>
      <c r="W10" s="54"/>
    </row>
    <row r="11" ht="60" customHeight="1" spans="2:23" s="56" customFormat="1" x14ac:dyDescent="0.25">
      <c r="B11" s="41">
        <v>6</v>
      </c>
      <c r="C11" s="57"/>
      <c r="D11" s="58"/>
      <c r="E11" s="44"/>
      <c r="F11" s="59"/>
      <c r="G11" s="57"/>
      <c r="H11" s="27"/>
      <c r="I11" s="46">
        <v>26</v>
      </c>
      <c r="J11" s="47">
        <v>0</v>
      </c>
      <c r="K11" s="33">
        <f t="shared" si="0"/>
        <v>0</v>
      </c>
      <c r="L11" s="48">
        <v>0</v>
      </c>
      <c r="M11" s="60">
        <v>0</v>
      </c>
      <c r="N11" s="48">
        <v>0</v>
      </c>
      <c r="O11" s="48">
        <v>0</v>
      </c>
      <c r="P11" s="48">
        <v>0</v>
      </c>
      <c r="Q11" s="50">
        <f t="shared" ref="Q11" si="3">K11+L11+M11+N11+O11+P11</f>
        <v>0</v>
      </c>
      <c r="R11" s="51">
        <v>0</v>
      </c>
      <c r="S11" s="48">
        <v>0</v>
      </c>
      <c r="T11" s="48">
        <v>0</v>
      </c>
      <c r="U11" s="52">
        <v>0</v>
      </c>
      <c r="V11" s="53">
        <f t="shared" ref="V11" si="4">Q11-R11-S11-T11-U11</f>
        <v>0</v>
      </c>
      <c r="W11" s="61"/>
    </row>
    <row r="12" ht="60" customHeight="1" spans="2:23" s="62" customFormat="1" x14ac:dyDescent="0.25">
      <c r="B12" s="63">
        <v>7</v>
      </c>
      <c r="C12" s="64"/>
      <c r="D12" s="64"/>
      <c r="E12" s="65"/>
      <c r="F12" s="66"/>
      <c r="G12" s="67"/>
      <c r="H12" s="64"/>
      <c r="I12" s="68">
        <v>26</v>
      </c>
      <c r="J12" s="69">
        <v>0</v>
      </c>
      <c r="K12" s="70">
        <f t="shared" ref="K12:K19" si="5">H12/26*I12</f>
        <v>0</v>
      </c>
      <c r="L12" s="71">
        <v>0</v>
      </c>
      <c r="M12" s="72">
        <v>0</v>
      </c>
      <c r="N12" s="71">
        <v>0</v>
      </c>
      <c r="O12" s="71">
        <v>0</v>
      </c>
      <c r="P12" s="71">
        <v>0</v>
      </c>
      <c r="Q12" s="73">
        <f t="shared" si="1"/>
        <v>0</v>
      </c>
      <c r="R12" s="70">
        <v>0</v>
      </c>
      <c r="S12" s="71">
        <v>0</v>
      </c>
      <c r="T12" s="71">
        <v>0</v>
      </c>
      <c r="U12" s="74"/>
      <c r="V12" s="75">
        <f t="shared" si="2"/>
        <v>0</v>
      </c>
      <c r="W12" s="76"/>
    </row>
    <row r="13" ht="60" customHeight="1" spans="2:23" s="2" customFormat="1" x14ac:dyDescent="0.25">
      <c r="B13" s="41">
        <v>8</v>
      </c>
      <c r="C13" s="42"/>
      <c r="D13" s="43"/>
      <c r="E13" s="44"/>
      <c r="F13" s="55"/>
      <c r="G13" s="42"/>
      <c r="H13" s="42"/>
      <c r="I13" s="46">
        <v>26</v>
      </c>
      <c r="J13" s="47">
        <v>0</v>
      </c>
      <c r="K13" s="51">
        <f t="shared" si="5"/>
        <v>0</v>
      </c>
      <c r="L13" s="48">
        <v>0</v>
      </c>
      <c r="M13" s="49">
        <v>0</v>
      </c>
      <c r="N13" s="48">
        <v>0</v>
      </c>
      <c r="O13" s="48">
        <v>0</v>
      </c>
      <c r="P13" s="48">
        <v>0</v>
      </c>
      <c r="Q13" s="50">
        <f t="shared" si="1"/>
        <v>0</v>
      </c>
      <c r="R13" s="51">
        <v>0</v>
      </c>
      <c r="S13" s="48">
        <v>0</v>
      </c>
      <c r="T13" s="48">
        <v>0</v>
      </c>
      <c r="U13" s="52">
        <v>0</v>
      </c>
      <c r="V13" s="53">
        <f t="shared" si="2"/>
        <v>0</v>
      </c>
      <c r="W13" s="54"/>
    </row>
    <row r="14" ht="60" customHeight="1" spans="2:23" s="2" customFormat="1" x14ac:dyDescent="0.25">
      <c r="B14" s="26">
        <v>9</v>
      </c>
      <c r="C14" s="42"/>
      <c r="D14" s="43"/>
      <c r="E14" s="44"/>
      <c r="F14" s="55"/>
      <c r="G14" s="42"/>
      <c r="H14" s="42"/>
      <c r="I14" s="46">
        <v>26</v>
      </c>
      <c r="J14" s="47">
        <v>0</v>
      </c>
      <c r="K14" s="51">
        <f t="shared" si="5"/>
        <v>0</v>
      </c>
      <c r="L14" s="48">
        <v>0</v>
      </c>
      <c r="M14" s="49">
        <v>0</v>
      </c>
      <c r="N14" s="48">
        <v>0</v>
      </c>
      <c r="O14" s="48">
        <v>0</v>
      </c>
      <c r="P14" s="48">
        <v>0</v>
      </c>
      <c r="Q14" s="50">
        <f t="shared" si="1"/>
        <v>0</v>
      </c>
      <c r="R14" s="51">
        <v>0</v>
      </c>
      <c r="S14" s="77"/>
      <c r="T14" s="48">
        <v>0</v>
      </c>
      <c r="U14" s="52">
        <v>0</v>
      </c>
      <c r="V14" s="53">
        <f t="shared" si="2"/>
        <v>0</v>
      </c>
      <c r="W14" s="78"/>
    </row>
    <row r="15" ht="60" customHeight="1" spans="2:23" s="2" customFormat="1" x14ac:dyDescent="0.25">
      <c r="B15" s="41">
        <v>10</v>
      </c>
      <c r="C15" s="42"/>
      <c r="D15" s="43"/>
      <c r="E15" s="44"/>
      <c r="F15" s="55"/>
      <c r="G15" s="42"/>
      <c r="H15" s="42"/>
      <c r="I15" s="46">
        <v>26</v>
      </c>
      <c r="J15" s="47">
        <v>0</v>
      </c>
      <c r="K15" s="51">
        <f t="shared" si="5"/>
        <v>0</v>
      </c>
      <c r="L15" s="48">
        <v>0</v>
      </c>
      <c r="M15" s="49">
        <v>0</v>
      </c>
      <c r="N15" s="48">
        <v>0</v>
      </c>
      <c r="O15" s="48">
        <v>0</v>
      </c>
      <c r="P15" s="48">
        <v>0</v>
      </c>
      <c r="Q15" s="50">
        <f t="shared" si="1"/>
        <v>0</v>
      </c>
      <c r="R15" s="51">
        <v>0</v>
      </c>
      <c r="S15" s="48">
        <v>0</v>
      </c>
      <c r="T15" s="48">
        <v>0</v>
      </c>
      <c r="U15" s="52">
        <v>0</v>
      </c>
      <c r="V15" s="53">
        <f t="shared" si="2"/>
        <v>0</v>
      </c>
      <c r="W15" s="54"/>
    </row>
    <row r="16" ht="60" customHeight="1" spans="2:23" s="2" customFormat="1" x14ac:dyDescent="0.25">
      <c r="B16" s="41">
        <v>11</v>
      </c>
      <c r="C16" s="42"/>
      <c r="D16" s="43"/>
      <c r="E16" s="44"/>
      <c r="F16" s="55"/>
      <c r="G16" s="42"/>
      <c r="H16" s="42"/>
      <c r="I16" s="46">
        <v>26</v>
      </c>
      <c r="J16" s="47">
        <v>0</v>
      </c>
      <c r="K16" s="51">
        <f t="shared" si="5"/>
        <v>0</v>
      </c>
      <c r="L16" s="48">
        <v>0</v>
      </c>
      <c r="M16" s="49">
        <v>0</v>
      </c>
      <c r="N16" s="48">
        <v>0</v>
      </c>
      <c r="O16" s="48">
        <v>0</v>
      </c>
      <c r="P16" s="48">
        <v>0</v>
      </c>
      <c r="Q16" s="50">
        <f t="shared" si="1"/>
        <v>0</v>
      </c>
      <c r="R16" s="51">
        <v>0</v>
      </c>
      <c r="S16" s="48">
        <v>0</v>
      </c>
      <c r="T16" s="48">
        <v>0</v>
      </c>
      <c r="U16" s="52">
        <v>0</v>
      </c>
      <c r="V16" s="53">
        <f t="shared" si="2"/>
        <v>0</v>
      </c>
      <c r="W16" s="54"/>
    </row>
    <row r="17" ht="60" customHeight="1" spans="2:23" s="2" customFormat="1" x14ac:dyDescent="0.25">
      <c r="B17" s="41">
        <v>12</v>
      </c>
      <c r="C17" s="42"/>
      <c r="D17" s="43"/>
      <c r="E17" s="44"/>
      <c r="F17" s="55"/>
      <c r="G17" s="42"/>
      <c r="H17" s="42"/>
      <c r="I17" s="46">
        <v>26</v>
      </c>
      <c r="J17" s="47">
        <v>0</v>
      </c>
      <c r="K17" s="51">
        <f t="shared" si="5"/>
        <v>0</v>
      </c>
      <c r="L17" s="48">
        <v>0</v>
      </c>
      <c r="M17" s="49">
        <v>0</v>
      </c>
      <c r="N17" s="48">
        <v>0</v>
      </c>
      <c r="O17" s="48">
        <v>0</v>
      </c>
      <c r="P17" s="48">
        <v>0</v>
      </c>
      <c r="Q17" s="50">
        <f t="shared" si="1"/>
        <v>0</v>
      </c>
      <c r="R17" s="51">
        <v>0</v>
      </c>
      <c r="S17" s="48">
        <v>0</v>
      </c>
      <c r="T17" s="48">
        <v>0</v>
      </c>
      <c r="U17" s="52">
        <v>0</v>
      </c>
      <c r="V17" s="53">
        <f t="shared" si="2"/>
        <v>0</v>
      </c>
      <c r="W17" s="54"/>
    </row>
    <row r="18" ht="60" customHeight="1" spans="2:23" s="2" customFormat="1" x14ac:dyDescent="0.25">
      <c r="B18" s="26">
        <v>13</v>
      </c>
      <c r="C18" s="42"/>
      <c r="D18" s="43"/>
      <c r="E18" s="44"/>
      <c r="F18" s="55"/>
      <c r="G18" s="42"/>
      <c r="H18" s="42"/>
      <c r="I18" s="46">
        <v>26</v>
      </c>
      <c r="J18" s="47">
        <v>0</v>
      </c>
      <c r="K18" s="51">
        <f t="shared" si="5"/>
        <v>0</v>
      </c>
      <c r="L18" s="48">
        <v>0</v>
      </c>
      <c r="M18" s="49">
        <v>0</v>
      </c>
      <c r="N18" s="48">
        <v>0</v>
      </c>
      <c r="O18" s="48">
        <v>0</v>
      </c>
      <c r="P18" s="48">
        <v>0</v>
      </c>
      <c r="Q18" s="50">
        <f t="shared" si="1"/>
        <v>0</v>
      </c>
      <c r="R18" s="51">
        <v>0</v>
      </c>
      <c r="S18" s="48">
        <v>0</v>
      </c>
      <c r="T18" s="48">
        <v>0</v>
      </c>
      <c r="U18" s="52">
        <v>0</v>
      </c>
      <c r="V18" s="53">
        <f t="shared" si="2"/>
        <v>0</v>
      </c>
      <c r="W18" s="54"/>
    </row>
    <row r="19" ht="60" customHeight="1" spans="2:23" s="2" customFormat="1" x14ac:dyDescent="0.25">
      <c r="B19" s="41">
        <v>14</v>
      </c>
      <c r="C19" s="42"/>
      <c r="D19" s="43"/>
      <c r="E19" s="44"/>
      <c r="F19" s="55"/>
      <c r="G19" s="42"/>
      <c r="H19" s="42"/>
      <c r="I19" s="46">
        <v>26</v>
      </c>
      <c r="J19" s="47">
        <v>0</v>
      </c>
      <c r="K19" s="51">
        <f t="shared" si="5"/>
        <v>0</v>
      </c>
      <c r="L19" s="48">
        <v>0</v>
      </c>
      <c r="M19" s="49">
        <v>0</v>
      </c>
      <c r="N19" s="48">
        <v>0</v>
      </c>
      <c r="O19" s="48">
        <v>0</v>
      </c>
      <c r="P19" s="48">
        <v>0</v>
      </c>
      <c r="Q19" s="50">
        <f t="shared" si="1"/>
        <v>0</v>
      </c>
      <c r="R19" s="51">
        <v>0</v>
      </c>
      <c r="S19" s="48">
        <v>0</v>
      </c>
      <c r="T19" s="48">
        <v>0</v>
      </c>
      <c r="U19" s="52">
        <v>0</v>
      </c>
      <c r="V19" s="53">
        <f t="shared" si="2"/>
        <v>0</v>
      </c>
      <c r="W19" s="54"/>
    </row>
    <row r="20" ht="60" customHeight="1" spans="2:23" s="2" customFormat="1" x14ac:dyDescent="0.25">
      <c r="B20" s="41">
        <v>16</v>
      </c>
      <c r="C20" s="79"/>
      <c r="D20" s="80"/>
      <c r="E20" s="81"/>
      <c r="F20" s="82"/>
      <c r="G20" s="42"/>
      <c r="H20" s="42"/>
      <c r="I20" s="83">
        <v>26</v>
      </c>
      <c r="J20" s="84">
        <v>0</v>
      </c>
      <c r="K20" s="85">
        <f t="shared" ref="K20" si="6">H20/26*I20</f>
        <v>0</v>
      </c>
      <c r="L20" s="86">
        <v>0</v>
      </c>
      <c r="M20" s="87">
        <v>0</v>
      </c>
      <c r="N20" s="86">
        <v>0</v>
      </c>
      <c r="O20" s="86">
        <v>0</v>
      </c>
      <c r="P20" s="86">
        <v>0</v>
      </c>
      <c r="Q20" s="88">
        <f t="shared" ref="Q20" si="7">K20+L20+M20+N20+O20+P20</f>
        <v>0</v>
      </c>
      <c r="R20" s="85">
        <v>0</v>
      </c>
      <c r="S20" s="77"/>
      <c r="T20" s="86">
        <v>0</v>
      </c>
      <c r="U20" s="89">
        <v>0</v>
      </c>
      <c r="V20" s="90">
        <f t="shared" ref="V20" si="8">Q20-R20-S20-T20-U20</f>
        <v>0</v>
      </c>
      <c r="W20" s="78"/>
    </row>
    <row r="21" ht="60" customHeight="1" spans="2:23" s="2" customFormat="1" x14ac:dyDescent="0.25">
      <c r="B21" s="26">
        <v>17</v>
      </c>
      <c r="C21" s="79"/>
      <c r="D21" s="80"/>
      <c r="E21" s="81"/>
      <c r="F21" s="82"/>
      <c r="G21" s="42"/>
      <c r="H21" s="42"/>
      <c r="I21" s="83">
        <v>26</v>
      </c>
      <c r="J21" s="84">
        <v>0</v>
      </c>
      <c r="K21" s="85">
        <f t="shared" ref="K21" si="9">H21/26*I21</f>
        <v>0</v>
      </c>
      <c r="L21" s="86">
        <v>0</v>
      </c>
      <c r="M21" s="87">
        <v>0</v>
      </c>
      <c r="N21" s="86">
        <v>0</v>
      </c>
      <c r="O21" s="86">
        <v>0</v>
      </c>
      <c r="P21" s="86">
        <v>0</v>
      </c>
      <c r="Q21" s="88">
        <f t="shared" ref="Q21" si="10">K21+L21+M21+N21+O21+P21</f>
        <v>0</v>
      </c>
      <c r="R21" s="85">
        <v>0</v>
      </c>
      <c r="S21" s="86">
        <v>0</v>
      </c>
      <c r="T21" s="86">
        <v>0</v>
      </c>
      <c r="U21" s="89">
        <v>0</v>
      </c>
      <c r="V21" s="90">
        <f t="shared" ref="V21" si="11">Q21-R21-S21-T21-U21</f>
        <v>0</v>
      </c>
      <c r="W21" s="91"/>
    </row>
    <row r="22" ht="60" customHeight="1" spans="2:23" s="2" customFormat="1" x14ac:dyDescent="0.25">
      <c r="B22" s="41">
        <v>18</v>
      </c>
      <c r="C22" s="79"/>
      <c r="D22" s="80"/>
      <c r="E22" s="81"/>
      <c r="F22" s="82"/>
      <c r="G22" s="42"/>
      <c r="H22" s="42"/>
      <c r="I22" s="83">
        <v>26</v>
      </c>
      <c r="J22" s="84">
        <v>0</v>
      </c>
      <c r="K22" s="85">
        <f t="shared" ref="K22" si="12">H22/26*I22</f>
        <v>0</v>
      </c>
      <c r="L22" s="86">
        <v>0</v>
      </c>
      <c r="M22" s="87">
        <v>0</v>
      </c>
      <c r="N22" s="86">
        <v>0</v>
      </c>
      <c r="O22" s="86">
        <v>0</v>
      </c>
      <c r="P22" s="86">
        <v>0</v>
      </c>
      <c r="Q22" s="88">
        <f t="shared" ref="Q22" si="13">K22+L22+M22+N22+O22+P22</f>
        <v>0</v>
      </c>
      <c r="R22" s="85">
        <v>0</v>
      </c>
      <c r="S22" s="86">
        <v>0</v>
      </c>
      <c r="T22" s="86">
        <v>0</v>
      </c>
      <c r="U22" s="89">
        <v>0</v>
      </c>
      <c r="V22" s="90">
        <f t="shared" ref="V22" si="14">Q22-R22-S22-T22-U22</f>
        <v>0</v>
      </c>
      <c r="W22" s="91"/>
    </row>
    <row r="23" ht="60" customHeight="1" spans="2:23" s="62" customFormat="1" x14ac:dyDescent="0.25">
      <c r="B23" s="63">
        <v>19</v>
      </c>
      <c r="C23" s="92"/>
      <c r="D23" s="92"/>
      <c r="E23" s="93"/>
      <c r="F23" s="94"/>
      <c r="G23" s="64"/>
      <c r="H23" s="64"/>
      <c r="I23" s="95">
        <v>26</v>
      </c>
      <c r="J23" s="96">
        <v>0</v>
      </c>
      <c r="K23" s="97">
        <f t="shared" ref="K23" si="15">H23/26*I23</f>
        <v>0</v>
      </c>
      <c r="L23" s="98">
        <v>0</v>
      </c>
      <c r="M23" s="99">
        <v>0</v>
      </c>
      <c r="N23" s="98">
        <v>0</v>
      </c>
      <c r="O23" s="98">
        <v>0</v>
      </c>
      <c r="P23" s="98">
        <v>0</v>
      </c>
      <c r="Q23" s="100">
        <f t="shared" ref="Q23" si="16">K23+L23+M23+N23+O23+P23</f>
        <v>0</v>
      </c>
      <c r="R23" s="97">
        <v>0</v>
      </c>
      <c r="S23" s="98">
        <v>0</v>
      </c>
      <c r="T23" s="98">
        <v>0</v>
      </c>
      <c r="U23" s="101"/>
      <c r="V23" s="102">
        <f t="shared" ref="V23" si="17">Q23-R23-S23-T23-U23</f>
        <v>0</v>
      </c>
      <c r="W23" s="103"/>
    </row>
    <row r="24" ht="79" customHeight="1" spans="2:22" s="104" customFormat="1" x14ac:dyDescent="0.25">
      <c r="B24" s="105" t="s">
        <v>26</v>
      </c>
      <c r="C24" s="106"/>
      <c r="D24" s="106"/>
      <c r="E24" s="106"/>
      <c r="F24" s="106"/>
      <c r="G24" s="106"/>
      <c r="H24" s="106"/>
      <c r="I24" s="106"/>
      <c r="J24" s="106"/>
      <c r="K24" s="107">
        <f>SUM(K6:K23)</f>
        <v>0</v>
      </c>
      <c r="L24" s="108">
        <f>SUM(L6:L19)</f>
        <v>0</v>
      </c>
      <c r="M24" s="109">
        <f>SUM(M6:M22)</f>
        <v>0</v>
      </c>
      <c r="N24" s="108">
        <f>SUM(N6:N19)</f>
        <v>0</v>
      </c>
      <c r="O24" s="110">
        <f>SUM(O6:O19)</f>
        <v>0</v>
      </c>
      <c r="P24" s="108">
        <f>SUM(P6:P19)</f>
        <v>0</v>
      </c>
      <c r="Q24" s="110">
        <f t="shared" ref="Q24:V24" si="18">SUM(Q6:Q23)</f>
        <v>0</v>
      </c>
      <c r="R24" s="108">
        <f t="shared" si="18"/>
        <v>0</v>
      </c>
      <c r="S24" s="108">
        <f t="shared" si="18"/>
        <v>0</v>
      </c>
      <c r="T24" s="108">
        <f t="shared" si="18"/>
        <v>0</v>
      </c>
      <c r="U24" s="108">
        <f t="shared" si="18"/>
        <v>0</v>
      </c>
      <c r="V24" s="111">
        <f t="shared" si="18"/>
        <v>0</v>
      </c>
    </row>
  </sheetData>
  <autoFilter ref="B4:H24"/>
  <mergeCells count="17">
    <mergeCell ref="B1:W1"/>
    <mergeCell ref="B2:W2"/>
    <mergeCell ref="B3:W3"/>
    <mergeCell ref="K4:Q4"/>
    <mergeCell ref="R4:U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V4:V5"/>
    <mergeCell ref="W4:W5"/>
    <mergeCell ref="B24:J24"/>
  </mergeCells>
  <conditionalFormatting sqref="D6:D15 D17:D19"/>
  <conditionalFormatting sqref="D16"/>
  <conditionalFormatting sqref="D20:D23"/>
  <conditionalFormatting sqref="F6:F15 F17:F19"/>
  <conditionalFormatting sqref="F16"/>
  <conditionalFormatting sqref="F20:F23"/>
  <pageMargins left="0.7" right="0.7" top="0.75" bottom="0.75" header="0.3" footer="0.3"/>
  <pageSetup paperSize="9" orientation="portrait" horizontalDpi="4294967295" verticalDpi="4294967295" scale="15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9"/>
  <sheetViews>
    <sheetView workbookViewId="0" zoomScale="60" zoomScaleNormal="60">
      <pane ySplit="5" topLeftCell="A6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34.69140625" style="112" customWidth="1"/>
    <col min="4" max="4" width="15.3828125" customWidth="1"/>
    <col min="5" max="5" width="16" customWidth="1"/>
    <col min="6" max="6" width="12.15234375" customWidth="1"/>
    <col min="7" max="7" width="12" customWidth="1"/>
    <col min="8" max="8" width="10.84375" customWidth="1"/>
    <col min="9" max="9" width="16.15234375" customWidth="1"/>
    <col min="10" max="10" width="17.15234375" customWidth="1"/>
    <col min="11" max="11" width="11" customWidth="1"/>
    <col min="12" max="12" width="14" customWidth="1"/>
    <col min="13" max="13" width="11.3046875" customWidth="1"/>
    <col min="14" max="14" width="15.15234375" customWidth="1"/>
    <col min="15" max="15" width="11.53515625" customWidth="1"/>
    <col min="16" max="16" width="14.3828125" customWidth="1"/>
    <col min="17" max="17" width="15.3046875" customWidth="1"/>
    <col min="18" max="18" width="10.53515625" customWidth="1"/>
    <col min="19" max="19" width="21.15234375" customWidth="1"/>
    <col min="20" max="20" width="22.53515625" customWidth="1"/>
    <col min="21" max="21" width="10" customWidth="1"/>
    <col min="22" max="22" width="18.3046875" customWidth="1"/>
    <col min="23" max="23" width="17" customWidth="1"/>
  </cols>
  <sheetData>
    <row r="1" ht="51.65" customHeight="1" spans="1:23" x14ac:dyDescent="0.25">
      <c r="A1" s="113" t="s">
        <v>27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ht="53.15" customHeight="1" spans="1:23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</row>
    <row r="3" ht="45.65" customHeight="1" spans="1:23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0"/>
    </row>
    <row r="4" ht="30" customHeight="1" spans="1:23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7" t="s">
        <v>8</v>
      </c>
      <c r="F4" s="117" t="s">
        <v>9</v>
      </c>
      <c r="G4" s="117" t="s">
        <v>10</v>
      </c>
      <c r="H4" s="117" t="s">
        <v>11</v>
      </c>
      <c r="I4" s="119" t="s">
        <v>12</v>
      </c>
      <c r="J4" s="119"/>
      <c r="K4" s="119"/>
      <c r="L4" s="119"/>
      <c r="M4" s="119"/>
      <c r="N4" s="119"/>
      <c r="O4" s="119" t="s">
        <v>13</v>
      </c>
      <c r="P4" s="119"/>
      <c r="Q4" s="119"/>
      <c r="R4" s="119"/>
      <c r="S4" s="117" t="s">
        <v>14</v>
      </c>
      <c r="T4" s="117" t="s">
        <v>15</v>
      </c>
      <c r="V4" s="117" t="s">
        <v>29</v>
      </c>
      <c r="W4" s="117" t="s">
        <v>30</v>
      </c>
    </row>
    <row r="5" ht="88.5" customHeight="1" spans="1:23" s="115" customFormat="1" x14ac:dyDescent="0.25">
      <c r="A5" s="116"/>
      <c r="B5" s="117"/>
      <c r="C5" s="117"/>
      <c r="D5" s="118"/>
      <c r="E5" s="116"/>
      <c r="F5" s="117"/>
      <c r="G5" s="117"/>
      <c r="H5" s="117"/>
      <c r="I5" s="120" t="s">
        <v>16</v>
      </c>
      <c r="J5" s="120" t="s">
        <v>17</v>
      </c>
      <c r="K5" s="120" t="s">
        <v>18</v>
      </c>
      <c r="L5" s="120" t="s">
        <v>31</v>
      </c>
      <c r="M5" s="120" t="s">
        <v>21</v>
      </c>
      <c r="N5" s="120" t="s">
        <v>22</v>
      </c>
      <c r="O5" s="120" t="s">
        <v>23</v>
      </c>
      <c r="P5" s="120" t="s">
        <v>24</v>
      </c>
      <c r="Q5" s="120" t="s">
        <v>25</v>
      </c>
      <c r="R5" s="120" t="s">
        <v>21</v>
      </c>
      <c r="S5" s="117"/>
      <c r="T5" s="117"/>
      <c r="V5" s="117"/>
      <c r="W5" s="117"/>
    </row>
    <row r="6" ht="45.65" customHeight="1" spans="1:23" x14ac:dyDescent="0.25">
      <c r="A6" s="121">
        <v>1</v>
      </c>
      <c r="B6" s="122">
        <v>1001</v>
      </c>
      <c r="C6" s="123" t="s">
        <v>32</v>
      </c>
      <c r="D6" s="124"/>
      <c r="E6" s="123" t="s">
        <v>33</v>
      </c>
      <c r="F6" s="122">
        <v>575</v>
      </c>
      <c r="G6" s="125">
        <v>26</v>
      </c>
      <c r="H6" s="125">
        <v>0</v>
      </c>
      <c r="I6" s="126">
        <f t="shared" ref="I6:I63" si="0">F6/26*G6</f>
        <v>575</v>
      </c>
      <c r="J6" s="126">
        <v>0</v>
      </c>
      <c r="K6" s="126">
        <v>0</v>
      </c>
      <c r="L6" s="126">
        <v>0</v>
      </c>
      <c r="M6" s="126">
        <v>0</v>
      </c>
      <c r="N6" s="126">
        <f>I6+J6+K6+L6+M6</f>
        <v>575</v>
      </c>
      <c r="O6" s="126">
        <v>0</v>
      </c>
      <c r="P6" s="126">
        <v>265.385</v>
      </c>
      <c r="Q6" s="126">
        <v>0</v>
      </c>
      <c r="R6" s="126">
        <v>0</v>
      </c>
      <c r="S6" s="127">
        <f>N6-O6-P6-Q6-R6</f>
        <v>309.615</v>
      </c>
      <c r="T6" s="128"/>
      <c r="V6" s="128"/>
      <c r="W6" s="128"/>
    </row>
    <row r="7" ht="45.65" customHeight="1" spans="1:23" x14ac:dyDescent="0.25">
      <c r="A7" s="121">
        <v>2</v>
      </c>
      <c r="B7" s="122">
        <v>1002</v>
      </c>
      <c r="C7" s="123" t="s">
        <v>34</v>
      </c>
      <c r="D7" s="124"/>
      <c r="E7" s="123" t="s">
        <v>35</v>
      </c>
      <c r="F7" s="122">
        <v>100</v>
      </c>
      <c r="G7" s="125">
        <v>26</v>
      </c>
      <c r="H7" s="125">
        <v>0</v>
      </c>
      <c r="I7" s="126">
        <f t="shared" si="0"/>
        <v>100</v>
      </c>
      <c r="J7" s="126">
        <v>0</v>
      </c>
      <c r="K7" s="126">
        <v>0</v>
      </c>
      <c r="L7" s="126">
        <v>0</v>
      </c>
      <c r="M7" s="126">
        <v>0</v>
      </c>
      <c r="N7" s="126">
        <f t="shared" ref="N7:N63" si="1">I7+J7+K7+L7+M7</f>
        <v>100</v>
      </c>
      <c r="O7" s="126">
        <v>0</v>
      </c>
      <c r="P7" s="126">
        <v>0</v>
      </c>
      <c r="Q7" s="126">
        <v>0</v>
      </c>
      <c r="R7" s="126">
        <v>0</v>
      </c>
      <c r="S7" s="127">
        <f>N7-O7-P7-Q7-R7</f>
        <v>100</v>
      </c>
      <c r="T7" s="128"/>
      <c r="V7" s="128"/>
      <c r="W7" s="128"/>
    </row>
    <row r="8" ht="45.65" customHeight="1" spans="1:23" x14ac:dyDescent="0.25">
      <c r="A8" s="121">
        <v>3</v>
      </c>
      <c r="B8" s="129">
        <v>1003</v>
      </c>
      <c r="C8" s="130" t="s">
        <v>36</v>
      </c>
      <c r="D8" s="124"/>
      <c r="E8" s="130" t="s">
        <v>37</v>
      </c>
      <c r="F8" s="129">
        <v>170</v>
      </c>
      <c r="G8" s="125">
        <v>26</v>
      </c>
      <c r="H8" s="125">
        <v>0</v>
      </c>
      <c r="I8" s="126">
        <f t="shared" si="0"/>
        <v>170</v>
      </c>
      <c r="J8" s="126">
        <v>0</v>
      </c>
      <c r="K8" s="126">
        <v>0</v>
      </c>
      <c r="L8" s="126">
        <v>0</v>
      </c>
      <c r="M8" s="126">
        <v>0</v>
      </c>
      <c r="N8" s="126">
        <f t="shared" si="1"/>
        <v>170</v>
      </c>
      <c r="O8" s="126">
        <v>0</v>
      </c>
      <c r="P8" s="126">
        <v>0</v>
      </c>
      <c r="Q8" s="126">
        <v>0</v>
      </c>
      <c r="R8" s="126">
        <v>0</v>
      </c>
      <c r="S8" s="127">
        <f t="shared" ref="S8:S63" si="2">N8-O8-P8-Q8-R8</f>
        <v>170</v>
      </c>
      <c r="T8" s="131"/>
      <c r="V8" s="131"/>
      <c r="W8" s="131"/>
    </row>
    <row r="9" ht="45.65" customHeight="1" spans="1:23" x14ac:dyDescent="0.25">
      <c r="A9" s="121">
        <v>4</v>
      </c>
      <c r="B9" s="122">
        <v>1004</v>
      </c>
      <c r="C9" s="123" t="s">
        <v>38</v>
      </c>
      <c r="D9" s="124"/>
      <c r="E9" s="123" t="s">
        <v>39</v>
      </c>
      <c r="F9" s="122">
        <v>500</v>
      </c>
      <c r="G9" s="125">
        <v>26</v>
      </c>
      <c r="H9" s="125">
        <v>0</v>
      </c>
      <c r="I9" s="126">
        <f t="shared" si="0"/>
        <v>500</v>
      </c>
      <c r="J9" s="126">
        <v>0</v>
      </c>
      <c r="K9" s="126">
        <v>0</v>
      </c>
      <c r="L9" s="126">
        <v>0</v>
      </c>
      <c r="M9" s="126">
        <v>0</v>
      </c>
      <c r="N9" s="126">
        <f t="shared" si="1"/>
        <v>500</v>
      </c>
      <c r="O9" s="126">
        <v>0</v>
      </c>
      <c r="P9" s="126">
        <v>0</v>
      </c>
      <c r="Q9" s="126">
        <v>0</v>
      </c>
      <c r="R9" s="126">
        <v>0</v>
      </c>
      <c r="S9" s="127">
        <f t="shared" si="2"/>
        <v>500</v>
      </c>
      <c r="T9" s="132"/>
      <c r="V9" s="132"/>
      <c r="W9" s="132"/>
    </row>
    <row r="10" ht="45.65" customHeight="1" spans="1:23" x14ac:dyDescent="0.25">
      <c r="A10" s="121">
        <v>5</v>
      </c>
      <c r="B10" s="129">
        <v>1005</v>
      </c>
      <c r="C10" s="123" t="s">
        <v>40</v>
      </c>
      <c r="D10" s="124"/>
      <c r="E10" s="123"/>
      <c r="F10" s="122">
        <v>200</v>
      </c>
      <c r="G10" s="125">
        <v>26</v>
      </c>
      <c r="H10" s="125">
        <v>0</v>
      </c>
      <c r="I10" s="126">
        <f t="shared" ref="I10:I58" si="3">F10/26*G10</f>
        <v>200</v>
      </c>
      <c r="J10" s="126">
        <v>0</v>
      </c>
      <c r="K10" s="126">
        <v>0</v>
      </c>
      <c r="L10" s="126">
        <v>0</v>
      </c>
      <c r="M10" s="126">
        <v>0</v>
      </c>
      <c r="N10" s="126">
        <f t="shared" ref="N10:N58" si="4">I10+J10+K10+L10+M10</f>
        <v>200</v>
      </c>
      <c r="O10" s="126">
        <v>0</v>
      </c>
      <c r="P10" s="126">
        <v>0</v>
      </c>
      <c r="Q10" s="126">
        <v>0</v>
      </c>
      <c r="R10" s="126">
        <v>0</v>
      </c>
      <c r="S10" s="127">
        <f t="shared" ref="S10:S58" si="5">N10-O10-P10-Q10-R10</f>
        <v>200</v>
      </c>
      <c r="T10" s="132"/>
      <c r="V10" s="132"/>
      <c r="W10" s="132"/>
    </row>
    <row r="11" ht="45.65" customHeight="1" spans="1:23" x14ac:dyDescent="0.25">
      <c r="A11" s="121">
        <v>6</v>
      </c>
      <c r="B11" s="122">
        <v>1006</v>
      </c>
      <c r="C11" s="123" t="s">
        <v>41</v>
      </c>
      <c r="D11" s="124"/>
      <c r="E11" s="123"/>
      <c r="F11" s="122">
        <v>75</v>
      </c>
      <c r="G11" s="125">
        <v>26</v>
      </c>
      <c r="H11" s="125">
        <v>0</v>
      </c>
      <c r="I11" s="126">
        <f t="shared" si="3"/>
        <v>75</v>
      </c>
      <c r="J11" s="126">
        <v>0</v>
      </c>
      <c r="K11" s="126">
        <v>0</v>
      </c>
      <c r="L11" s="126">
        <v>0</v>
      </c>
      <c r="M11" s="126">
        <v>0</v>
      </c>
      <c r="N11" s="126">
        <f t="shared" si="4"/>
        <v>75</v>
      </c>
      <c r="O11" s="126">
        <v>0</v>
      </c>
      <c r="P11" s="126">
        <v>0</v>
      </c>
      <c r="Q11" s="126">
        <v>0</v>
      </c>
      <c r="R11" s="126">
        <v>0</v>
      </c>
      <c r="S11" s="127">
        <f t="shared" si="5"/>
        <v>75</v>
      </c>
      <c r="T11" s="132"/>
      <c r="V11" s="132"/>
      <c r="W11" s="132"/>
    </row>
    <row r="12" ht="45.65" customHeight="1" spans="1:23" x14ac:dyDescent="0.25">
      <c r="A12" s="121">
        <v>7</v>
      </c>
      <c r="B12" s="129">
        <v>1007</v>
      </c>
      <c r="C12" s="123" t="s">
        <v>42</v>
      </c>
      <c r="D12" s="124"/>
      <c r="E12" s="123" t="s">
        <v>43</v>
      </c>
      <c r="F12" s="122">
        <v>350</v>
      </c>
      <c r="G12" s="125">
        <v>26</v>
      </c>
      <c r="H12" s="125">
        <v>0</v>
      </c>
      <c r="I12" s="126">
        <f t="shared" si="3"/>
        <v>350</v>
      </c>
      <c r="J12" s="126">
        <v>0</v>
      </c>
      <c r="K12" s="126">
        <v>0</v>
      </c>
      <c r="L12" s="126">
        <v>0</v>
      </c>
      <c r="M12" s="126">
        <v>0</v>
      </c>
      <c r="N12" s="126">
        <f t="shared" si="4"/>
        <v>350</v>
      </c>
      <c r="O12" s="126">
        <v>0</v>
      </c>
      <c r="P12" s="126">
        <v>0</v>
      </c>
      <c r="Q12" s="126">
        <v>0</v>
      </c>
      <c r="R12" s="126">
        <v>0</v>
      </c>
      <c r="S12" s="127">
        <f t="shared" si="5"/>
        <v>350</v>
      </c>
      <c r="T12" s="132"/>
      <c r="V12" s="132"/>
      <c r="W12" s="132"/>
    </row>
    <row r="13" ht="45.65" customHeight="1" spans="1:23" x14ac:dyDescent="0.25">
      <c r="A13" s="121">
        <v>8</v>
      </c>
      <c r="B13" s="122">
        <v>1008</v>
      </c>
      <c r="C13" s="123" t="s">
        <v>44</v>
      </c>
      <c r="D13" s="124"/>
      <c r="E13" s="123" t="s">
        <v>45</v>
      </c>
      <c r="F13" s="122">
        <v>456.9</v>
      </c>
      <c r="G13" s="125">
        <v>26</v>
      </c>
      <c r="H13" s="125">
        <v>0</v>
      </c>
      <c r="I13" s="126">
        <f t="shared" ref="I13:I48" si="6">F13/26*G13</f>
        <v>456.9</v>
      </c>
      <c r="J13" s="126">
        <v>0</v>
      </c>
      <c r="K13" s="126">
        <v>0</v>
      </c>
      <c r="L13" s="126">
        <v>0</v>
      </c>
      <c r="M13" s="126">
        <v>0</v>
      </c>
      <c r="N13" s="126">
        <f t="shared" ref="N13:N48" si="7">I13+J13+K13+L13+M13</f>
        <v>456.9</v>
      </c>
      <c r="O13" s="126">
        <v>0</v>
      </c>
      <c r="P13" s="126">
        <v>0.8</v>
      </c>
      <c r="Q13" s="126">
        <v>0</v>
      </c>
      <c r="R13" s="126">
        <v>0</v>
      </c>
      <c r="S13" s="127">
        <f t="shared" ref="S13:S48" si="8">N13-O13-P13-Q13-R13</f>
        <v>456.09999999999997</v>
      </c>
      <c r="T13" s="132"/>
      <c r="V13" s="132"/>
      <c r="W13" s="132"/>
    </row>
    <row r="14" ht="45.65" customHeight="1" spans="1:23" x14ac:dyDescent="0.25">
      <c r="A14" s="121">
        <v>9</v>
      </c>
      <c r="B14" s="129">
        <v>1009</v>
      </c>
      <c r="C14" s="123" t="s">
        <v>46</v>
      </c>
      <c r="D14" s="124"/>
      <c r="E14" s="123" t="s">
        <v>47</v>
      </c>
      <c r="F14" s="122">
        <v>560</v>
      </c>
      <c r="G14" s="125">
        <v>26</v>
      </c>
      <c r="H14" s="125">
        <v>0</v>
      </c>
      <c r="I14" s="126">
        <f t="shared" si="6"/>
        <v>560</v>
      </c>
      <c r="J14" s="126">
        <v>0</v>
      </c>
      <c r="K14" s="126">
        <v>0</v>
      </c>
      <c r="L14" s="126">
        <v>0</v>
      </c>
      <c r="M14" s="126">
        <v>0</v>
      </c>
      <c r="N14" s="126">
        <f t="shared" si="7"/>
        <v>560</v>
      </c>
      <c r="O14" s="126">
        <v>0</v>
      </c>
      <c r="P14" s="126">
        <v>4.1</v>
      </c>
      <c r="Q14" s="126">
        <v>0</v>
      </c>
      <c r="R14" s="126">
        <v>0</v>
      </c>
      <c r="S14" s="127">
        <f t="shared" si="8"/>
        <v>555.9</v>
      </c>
      <c r="T14" s="132"/>
      <c r="V14" s="132"/>
      <c r="W14" s="132"/>
    </row>
    <row r="15" ht="45.65" customHeight="1" spans="1:23" x14ac:dyDescent="0.25">
      <c r="A15" s="121">
        <v>10</v>
      </c>
      <c r="B15" s="122">
        <v>1010</v>
      </c>
      <c r="C15" s="123" t="s">
        <v>48</v>
      </c>
      <c r="D15" s="124"/>
      <c r="E15" s="123" t="s">
        <v>43</v>
      </c>
      <c r="F15" s="122">
        <v>300</v>
      </c>
      <c r="G15" s="125">
        <v>26</v>
      </c>
      <c r="H15" s="125">
        <v>0</v>
      </c>
      <c r="I15" s="126">
        <f t="shared" si="6"/>
        <v>300</v>
      </c>
      <c r="J15" s="126">
        <v>0</v>
      </c>
      <c r="K15" s="126">
        <v>0</v>
      </c>
      <c r="L15" s="126">
        <v>0</v>
      </c>
      <c r="M15" s="126">
        <v>0</v>
      </c>
      <c r="N15" s="126">
        <f t="shared" si="7"/>
        <v>300</v>
      </c>
      <c r="O15" s="126">
        <v>0</v>
      </c>
      <c r="P15" s="126">
        <v>0</v>
      </c>
      <c r="Q15" s="126">
        <v>0</v>
      </c>
      <c r="R15" s="126">
        <v>0</v>
      </c>
      <c r="S15" s="127">
        <f t="shared" si="8"/>
        <v>300</v>
      </c>
      <c r="T15" s="132"/>
      <c r="V15" s="132"/>
      <c r="W15" s="132"/>
    </row>
    <row r="16" ht="45.65" customHeight="1" spans="1:23" x14ac:dyDescent="0.25">
      <c r="A16" s="121">
        <v>11</v>
      </c>
      <c r="B16" s="129">
        <v>1011</v>
      </c>
      <c r="C16" s="123" t="s">
        <v>49</v>
      </c>
      <c r="D16" s="124"/>
      <c r="E16" s="123" t="s">
        <v>50</v>
      </c>
      <c r="F16" s="122">
        <v>250</v>
      </c>
      <c r="G16" s="125">
        <v>26</v>
      </c>
      <c r="H16" s="125">
        <v>0</v>
      </c>
      <c r="I16" s="126">
        <f t="shared" si="6"/>
        <v>250</v>
      </c>
      <c r="J16" s="126">
        <v>0</v>
      </c>
      <c r="K16" s="126">
        <v>0</v>
      </c>
      <c r="L16" s="126">
        <v>0</v>
      </c>
      <c r="M16" s="126">
        <v>0</v>
      </c>
      <c r="N16" s="126">
        <f t="shared" si="7"/>
        <v>250</v>
      </c>
      <c r="O16" s="126">
        <v>0</v>
      </c>
      <c r="P16" s="126">
        <v>0</v>
      </c>
      <c r="Q16" s="126">
        <v>0</v>
      </c>
      <c r="R16" s="126">
        <v>0</v>
      </c>
      <c r="S16" s="127">
        <f t="shared" si="8"/>
        <v>250</v>
      </c>
      <c r="T16" s="132"/>
      <c r="V16" s="132"/>
      <c r="W16" s="132"/>
    </row>
    <row r="17" ht="45.65" customHeight="1" spans="1:23" x14ac:dyDescent="0.25">
      <c r="A17" s="121">
        <v>12</v>
      </c>
      <c r="B17" s="122">
        <v>1012</v>
      </c>
      <c r="C17" s="123" t="s">
        <v>51</v>
      </c>
      <c r="D17" s="124"/>
      <c r="E17" s="123" t="s">
        <v>50</v>
      </c>
      <c r="F17" s="122">
        <v>250</v>
      </c>
      <c r="G17" s="125">
        <v>26</v>
      </c>
      <c r="H17" s="125">
        <v>0</v>
      </c>
      <c r="I17" s="126">
        <f t="shared" si="6"/>
        <v>250</v>
      </c>
      <c r="J17" s="126">
        <v>0</v>
      </c>
      <c r="K17" s="126">
        <v>0</v>
      </c>
      <c r="L17" s="126">
        <v>0</v>
      </c>
      <c r="M17" s="126">
        <v>0</v>
      </c>
      <c r="N17" s="126">
        <f t="shared" si="7"/>
        <v>250</v>
      </c>
      <c r="O17" s="126">
        <v>0</v>
      </c>
      <c r="P17" s="126">
        <v>0</v>
      </c>
      <c r="Q17" s="126">
        <v>0</v>
      </c>
      <c r="R17" s="126">
        <v>0</v>
      </c>
      <c r="S17" s="127">
        <f t="shared" si="8"/>
        <v>250</v>
      </c>
      <c r="T17" s="132"/>
      <c r="V17" s="132"/>
      <c r="W17" s="132"/>
    </row>
    <row r="18" ht="45.65" customHeight="1" spans="1:23" x14ac:dyDescent="0.25">
      <c r="A18" s="121">
        <v>13</v>
      </c>
      <c r="B18" s="129">
        <v>1013</v>
      </c>
      <c r="C18" s="123" t="s">
        <v>52</v>
      </c>
      <c r="D18" s="124"/>
      <c r="E18" s="123" t="s">
        <v>50</v>
      </c>
      <c r="F18" s="122">
        <v>250</v>
      </c>
      <c r="G18" s="125">
        <v>26</v>
      </c>
      <c r="H18" s="125">
        <v>0</v>
      </c>
      <c r="I18" s="126">
        <f t="shared" si="6"/>
        <v>250</v>
      </c>
      <c r="J18" s="126">
        <v>0</v>
      </c>
      <c r="K18" s="126">
        <v>0</v>
      </c>
      <c r="L18" s="126">
        <v>0</v>
      </c>
      <c r="M18" s="126">
        <v>0</v>
      </c>
      <c r="N18" s="126">
        <f t="shared" si="7"/>
        <v>250</v>
      </c>
      <c r="O18" s="126">
        <v>0</v>
      </c>
      <c r="P18" s="126">
        <v>0</v>
      </c>
      <c r="Q18" s="126">
        <v>0</v>
      </c>
      <c r="R18" s="126">
        <v>0</v>
      </c>
      <c r="S18" s="127">
        <f t="shared" si="8"/>
        <v>250</v>
      </c>
      <c r="T18" s="132"/>
      <c r="V18" s="132"/>
      <c r="W18" s="132"/>
    </row>
    <row r="19" ht="45.65" customHeight="1" spans="1:23" x14ac:dyDescent="0.25">
      <c r="A19" s="121">
        <v>14</v>
      </c>
      <c r="B19" s="122">
        <v>1014</v>
      </c>
      <c r="C19" s="123" t="s">
        <v>53</v>
      </c>
      <c r="D19" s="124"/>
      <c r="E19" s="123" t="s">
        <v>54</v>
      </c>
      <c r="F19" s="122">
        <v>370</v>
      </c>
      <c r="G19" s="125">
        <v>26</v>
      </c>
      <c r="H19" s="125">
        <v>0</v>
      </c>
      <c r="I19" s="126">
        <f t="shared" si="6"/>
        <v>370</v>
      </c>
      <c r="J19" s="126">
        <v>0</v>
      </c>
      <c r="K19" s="126">
        <v>0</v>
      </c>
      <c r="L19" s="126">
        <v>0</v>
      </c>
      <c r="M19" s="126">
        <v>0</v>
      </c>
      <c r="N19" s="126">
        <f t="shared" si="7"/>
        <v>370</v>
      </c>
      <c r="O19" s="126">
        <v>0</v>
      </c>
      <c r="P19" s="126">
        <v>0</v>
      </c>
      <c r="Q19" s="126">
        <v>0</v>
      </c>
      <c r="R19" s="126">
        <v>0</v>
      </c>
      <c r="S19" s="127">
        <f t="shared" si="8"/>
        <v>370</v>
      </c>
      <c r="T19" s="132"/>
      <c r="V19" s="132"/>
      <c r="W19" s="132"/>
    </row>
    <row r="20" ht="45.65" customHeight="1" spans="1:23" x14ac:dyDescent="0.25">
      <c r="A20" s="121">
        <v>15</v>
      </c>
      <c r="B20" s="129">
        <v>1015</v>
      </c>
      <c r="C20" s="123" t="s">
        <v>55</v>
      </c>
      <c r="D20" s="124"/>
      <c r="E20" s="123" t="s">
        <v>56</v>
      </c>
      <c r="F20" s="122">
        <v>430</v>
      </c>
      <c r="G20" s="125">
        <v>26</v>
      </c>
      <c r="H20" s="125">
        <v>0</v>
      </c>
      <c r="I20" s="126">
        <f t="shared" si="6"/>
        <v>430.00000000000006</v>
      </c>
      <c r="J20" s="126">
        <v>0</v>
      </c>
      <c r="K20" s="126">
        <v>0</v>
      </c>
      <c r="L20" s="126">
        <v>0</v>
      </c>
      <c r="M20" s="126">
        <v>0</v>
      </c>
      <c r="N20" s="126">
        <f t="shared" si="7"/>
        <v>430.00000000000006</v>
      </c>
      <c r="O20" s="126">
        <v>0</v>
      </c>
      <c r="P20" s="126">
        <v>0</v>
      </c>
      <c r="Q20" s="126">
        <v>0</v>
      </c>
      <c r="R20" s="126">
        <v>0</v>
      </c>
      <c r="S20" s="127">
        <f t="shared" si="8"/>
        <v>430.00000000000006</v>
      </c>
      <c r="T20" s="132" t="s">
        <v>57</v>
      </c>
      <c r="V20" s="133">
        <v>600</v>
      </c>
      <c r="W20" s="134">
        <f>S20-V20</f>
        <v>-169.99999999999994</v>
      </c>
    </row>
    <row r="21" ht="45.65" customHeight="1" spans="1:23" x14ac:dyDescent="0.25">
      <c r="A21" s="121">
        <v>16</v>
      </c>
      <c r="B21" s="122">
        <v>1016</v>
      </c>
      <c r="C21" s="123" t="s">
        <v>58</v>
      </c>
      <c r="D21" s="124"/>
      <c r="E21" s="123" t="s">
        <v>59</v>
      </c>
      <c r="F21" s="122">
        <v>150</v>
      </c>
      <c r="G21" s="125">
        <v>26</v>
      </c>
      <c r="H21" s="125">
        <v>0</v>
      </c>
      <c r="I21" s="126">
        <f t="shared" si="6"/>
        <v>150</v>
      </c>
      <c r="J21" s="126">
        <v>0</v>
      </c>
      <c r="K21" s="126">
        <v>0</v>
      </c>
      <c r="L21" s="126">
        <v>0</v>
      </c>
      <c r="M21" s="126">
        <v>0</v>
      </c>
      <c r="N21" s="126">
        <f t="shared" si="7"/>
        <v>150</v>
      </c>
      <c r="O21" s="126">
        <v>0</v>
      </c>
      <c r="P21" s="126">
        <v>0</v>
      </c>
      <c r="Q21" s="126">
        <v>0</v>
      </c>
      <c r="R21" s="126">
        <v>0</v>
      </c>
      <c r="S21" s="127">
        <f t="shared" si="8"/>
        <v>150</v>
      </c>
      <c r="T21" s="132"/>
      <c r="V21" s="132"/>
      <c r="W21" s="132"/>
    </row>
    <row r="22" ht="45.65" customHeight="1" spans="1:23" x14ac:dyDescent="0.25">
      <c r="A22" s="121">
        <v>17</v>
      </c>
      <c r="B22" s="129">
        <v>1017</v>
      </c>
      <c r="C22" s="123" t="s">
        <v>60</v>
      </c>
      <c r="D22" s="124"/>
      <c r="E22" s="123" t="s">
        <v>61</v>
      </c>
      <c r="F22" s="122">
        <v>170</v>
      </c>
      <c r="G22" s="125">
        <v>26</v>
      </c>
      <c r="H22" s="125">
        <v>0</v>
      </c>
      <c r="I22" s="126">
        <f t="shared" si="6"/>
        <v>170</v>
      </c>
      <c r="J22" s="126">
        <v>0</v>
      </c>
      <c r="K22" s="126">
        <v>0</v>
      </c>
      <c r="L22" s="126">
        <v>0</v>
      </c>
      <c r="M22" s="126">
        <v>0</v>
      </c>
      <c r="N22" s="126">
        <f t="shared" si="7"/>
        <v>170</v>
      </c>
      <c r="O22" s="126">
        <v>0</v>
      </c>
      <c r="P22" s="126">
        <v>0</v>
      </c>
      <c r="Q22" s="126">
        <v>0</v>
      </c>
      <c r="R22" s="126">
        <v>0</v>
      </c>
      <c r="S22" s="127">
        <f t="shared" si="8"/>
        <v>170</v>
      </c>
      <c r="T22" s="132"/>
      <c r="V22" s="132"/>
      <c r="W22" s="132"/>
    </row>
    <row r="23" ht="45.65" customHeight="1" spans="1:23" x14ac:dyDescent="0.25">
      <c r="A23" s="121">
        <v>18</v>
      </c>
      <c r="B23" s="122">
        <v>1018</v>
      </c>
      <c r="C23" s="123" t="s">
        <v>62</v>
      </c>
      <c r="D23" s="124"/>
      <c r="E23" s="123" t="s">
        <v>50</v>
      </c>
      <c r="F23" s="122">
        <v>250</v>
      </c>
      <c r="G23" s="125">
        <v>26</v>
      </c>
      <c r="H23" s="125">
        <v>0</v>
      </c>
      <c r="I23" s="126">
        <f t="shared" si="6"/>
        <v>250</v>
      </c>
      <c r="J23" s="126">
        <v>0</v>
      </c>
      <c r="K23" s="126">
        <v>0</v>
      </c>
      <c r="L23" s="126">
        <v>0</v>
      </c>
      <c r="M23" s="126">
        <v>0</v>
      </c>
      <c r="N23" s="126">
        <f t="shared" si="7"/>
        <v>250</v>
      </c>
      <c r="O23" s="126">
        <v>0</v>
      </c>
      <c r="P23" s="126">
        <v>0</v>
      </c>
      <c r="Q23" s="126">
        <v>0</v>
      </c>
      <c r="R23" s="126">
        <v>0</v>
      </c>
      <c r="S23" s="127">
        <f t="shared" si="8"/>
        <v>250</v>
      </c>
      <c r="T23" s="132"/>
      <c r="V23" s="132"/>
      <c r="W23" s="132"/>
    </row>
    <row r="24" ht="45.65" customHeight="1" spans="1:23" x14ac:dyDescent="0.25">
      <c r="A24" s="121">
        <v>19</v>
      </c>
      <c r="B24" s="129">
        <v>1019</v>
      </c>
      <c r="C24" s="123" t="s">
        <v>63</v>
      </c>
      <c r="D24" s="124"/>
      <c r="E24" s="123" t="s">
        <v>50</v>
      </c>
      <c r="F24" s="122">
        <v>250</v>
      </c>
      <c r="G24" s="125">
        <v>26</v>
      </c>
      <c r="H24" s="125">
        <v>0</v>
      </c>
      <c r="I24" s="126">
        <f t="shared" si="6"/>
        <v>250</v>
      </c>
      <c r="J24" s="126">
        <v>0</v>
      </c>
      <c r="K24" s="126">
        <v>0</v>
      </c>
      <c r="L24" s="126">
        <v>0</v>
      </c>
      <c r="M24" s="126">
        <v>0</v>
      </c>
      <c r="N24" s="126">
        <f t="shared" si="7"/>
        <v>250</v>
      </c>
      <c r="O24" s="126">
        <v>0</v>
      </c>
      <c r="P24" s="126">
        <v>0</v>
      </c>
      <c r="Q24" s="126">
        <v>0</v>
      </c>
      <c r="R24" s="126">
        <v>0</v>
      </c>
      <c r="S24" s="127">
        <f t="shared" si="8"/>
        <v>250</v>
      </c>
      <c r="T24" s="132"/>
      <c r="V24" s="132"/>
      <c r="W24" s="132"/>
    </row>
    <row r="25" ht="45.65" customHeight="1" spans="1:23" x14ac:dyDescent="0.25">
      <c r="A25" s="121">
        <v>20</v>
      </c>
      <c r="B25" s="122">
        <v>1020</v>
      </c>
      <c r="C25" s="123" t="s">
        <v>64</v>
      </c>
      <c r="D25" s="124"/>
      <c r="E25" s="123" t="s">
        <v>65</v>
      </c>
      <c r="F25" s="122">
        <v>450</v>
      </c>
      <c r="G25" s="125">
        <v>26</v>
      </c>
      <c r="H25" s="125">
        <v>0</v>
      </c>
      <c r="I25" s="126">
        <f t="shared" si="6"/>
        <v>450</v>
      </c>
      <c r="J25" s="126">
        <v>0</v>
      </c>
      <c r="K25" s="126">
        <v>0</v>
      </c>
      <c r="L25" s="126">
        <v>0</v>
      </c>
      <c r="M25" s="126">
        <v>0</v>
      </c>
      <c r="N25" s="126">
        <f t="shared" si="7"/>
        <v>450</v>
      </c>
      <c r="O25" s="126">
        <v>0</v>
      </c>
      <c r="P25" s="126">
        <v>0</v>
      </c>
      <c r="Q25" s="126">
        <v>0</v>
      </c>
      <c r="R25" s="126">
        <v>0</v>
      </c>
      <c r="S25" s="127">
        <f t="shared" si="8"/>
        <v>450</v>
      </c>
      <c r="T25" s="132"/>
      <c r="V25" s="132"/>
      <c r="W25" s="132"/>
    </row>
    <row r="26" ht="45.65" customHeight="1" spans="1:23" x14ac:dyDescent="0.25">
      <c r="A26" s="121">
        <v>21</v>
      </c>
      <c r="B26" s="129">
        <v>1021</v>
      </c>
      <c r="C26" s="123" t="s">
        <v>66</v>
      </c>
      <c r="D26" s="124"/>
      <c r="E26" s="123" t="s">
        <v>67</v>
      </c>
      <c r="F26" s="122">
        <v>150</v>
      </c>
      <c r="G26" s="125">
        <v>26</v>
      </c>
      <c r="H26" s="125">
        <v>0</v>
      </c>
      <c r="I26" s="126">
        <f t="shared" si="6"/>
        <v>150</v>
      </c>
      <c r="J26" s="126">
        <v>0</v>
      </c>
      <c r="K26" s="126">
        <v>0</v>
      </c>
      <c r="L26" s="126">
        <v>0</v>
      </c>
      <c r="M26" s="126">
        <v>0</v>
      </c>
      <c r="N26" s="126">
        <f t="shared" si="7"/>
        <v>150</v>
      </c>
      <c r="O26" s="126">
        <v>0</v>
      </c>
      <c r="P26" s="126">
        <v>0</v>
      </c>
      <c r="Q26" s="126">
        <v>0</v>
      </c>
      <c r="R26" s="126">
        <v>0</v>
      </c>
      <c r="S26" s="127">
        <f t="shared" si="8"/>
        <v>150</v>
      </c>
      <c r="T26" s="132"/>
      <c r="V26" s="132"/>
      <c r="W26" s="132"/>
    </row>
    <row r="27" ht="45.65" customHeight="1" spans="1:23" x14ac:dyDescent="0.25">
      <c r="A27" s="121">
        <v>22</v>
      </c>
      <c r="B27" s="122">
        <v>1022</v>
      </c>
      <c r="C27" s="123" t="s">
        <v>68</v>
      </c>
      <c r="D27" s="124"/>
      <c r="E27" s="123" t="s">
        <v>69</v>
      </c>
      <c r="F27" s="122">
        <v>150</v>
      </c>
      <c r="G27" s="125">
        <v>26</v>
      </c>
      <c r="H27" s="125">
        <v>0</v>
      </c>
      <c r="I27" s="126">
        <f t="shared" si="6"/>
        <v>150</v>
      </c>
      <c r="J27" s="126">
        <v>0</v>
      </c>
      <c r="K27" s="126">
        <v>0</v>
      </c>
      <c r="L27" s="126">
        <v>0</v>
      </c>
      <c r="M27" s="126">
        <v>0</v>
      </c>
      <c r="N27" s="126">
        <f t="shared" si="7"/>
        <v>150</v>
      </c>
      <c r="O27" s="126">
        <v>0</v>
      </c>
      <c r="P27" s="126">
        <v>0</v>
      </c>
      <c r="Q27" s="126">
        <v>0</v>
      </c>
      <c r="R27" s="126">
        <v>0</v>
      </c>
      <c r="S27" s="127">
        <f t="shared" si="8"/>
        <v>150</v>
      </c>
      <c r="T27" s="132"/>
      <c r="V27" s="132"/>
      <c r="W27" s="132"/>
    </row>
    <row r="28" ht="45.65" customHeight="1" spans="1:23" x14ac:dyDescent="0.25">
      <c r="A28" s="121">
        <v>23</v>
      </c>
      <c r="B28" s="129">
        <v>1023</v>
      </c>
      <c r="C28" s="123" t="s">
        <v>70</v>
      </c>
      <c r="D28" s="124"/>
      <c r="E28" s="123" t="s">
        <v>69</v>
      </c>
      <c r="F28" s="122">
        <v>150</v>
      </c>
      <c r="G28" s="125">
        <v>26</v>
      </c>
      <c r="H28" s="125">
        <v>0</v>
      </c>
      <c r="I28" s="126">
        <f t="shared" si="6"/>
        <v>150</v>
      </c>
      <c r="J28" s="126">
        <v>0</v>
      </c>
      <c r="K28" s="126">
        <v>0</v>
      </c>
      <c r="L28" s="126">
        <v>0</v>
      </c>
      <c r="M28" s="126">
        <v>0</v>
      </c>
      <c r="N28" s="126">
        <f t="shared" si="7"/>
        <v>150</v>
      </c>
      <c r="O28" s="126">
        <v>0</v>
      </c>
      <c r="P28" s="126">
        <v>51.923</v>
      </c>
      <c r="Q28" s="126">
        <v>0</v>
      </c>
      <c r="R28" s="126">
        <v>0</v>
      </c>
      <c r="S28" s="127">
        <f t="shared" si="8"/>
        <v>98.077</v>
      </c>
      <c r="T28" s="132"/>
      <c r="V28" s="132"/>
      <c r="W28" s="132"/>
    </row>
    <row r="29" ht="45.65" customHeight="1" spans="1:23" x14ac:dyDescent="0.25">
      <c r="A29" s="121">
        <v>24</v>
      </c>
      <c r="B29" s="122">
        <v>1024</v>
      </c>
      <c r="C29" s="123" t="s">
        <v>71</v>
      </c>
      <c r="D29" s="124"/>
      <c r="E29" s="123" t="s">
        <v>69</v>
      </c>
      <c r="F29" s="122">
        <v>150</v>
      </c>
      <c r="G29" s="125">
        <v>26</v>
      </c>
      <c r="H29" s="125">
        <v>0</v>
      </c>
      <c r="I29" s="126">
        <f t="shared" si="6"/>
        <v>150</v>
      </c>
      <c r="J29" s="126">
        <v>0</v>
      </c>
      <c r="K29" s="126">
        <v>0</v>
      </c>
      <c r="L29" s="126">
        <v>0</v>
      </c>
      <c r="M29" s="126">
        <v>0</v>
      </c>
      <c r="N29" s="126">
        <f t="shared" si="7"/>
        <v>150</v>
      </c>
      <c r="O29" s="126">
        <v>0</v>
      </c>
      <c r="P29" s="126">
        <v>0</v>
      </c>
      <c r="Q29" s="126">
        <v>0</v>
      </c>
      <c r="R29" s="126">
        <v>0</v>
      </c>
      <c r="S29" s="127">
        <f t="shared" si="8"/>
        <v>150</v>
      </c>
      <c r="T29" s="132"/>
      <c r="V29" s="132"/>
      <c r="W29" s="132"/>
    </row>
    <row r="30" ht="45.65" customHeight="1" spans="1:23" x14ac:dyDescent="0.25">
      <c r="A30" s="121">
        <v>25</v>
      </c>
      <c r="B30" s="129">
        <v>1025</v>
      </c>
      <c r="C30" s="123" t="s">
        <v>72</v>
      </c>
      <c r="D30" s="124"/>
      <c r="E30" s="123" t="s">
        <v>69</v>
      </c>
      <c r="F30" s="122">
        <v>150</v>
      </c>
      <c r="G30" s="125">
        <v>26</v>
      </c>
      <c r="H30" s="125">
        <v>0</v>
      </c>
      <c r="I30" s="126">
        <f t="shared" si="6"/>
        <v>150</v>
      </c>
      <c r="J30" s="126">
        <v>0</v>
      </c>
      <c r="K30" s="126">
        <v>0</v>
      </c>
      <c r="L30" s="126">
        <v>0</v>
      </c>
      <c r="M30" s="126">
        <v>0</v>
      </c>
      <c r="N30" s="126">
        <f t="shared" si="7"/>
        <v>150</v>
      </c>
      <c r="O30" s="126">
        <v>0</v>
      </c>
      <c r="P30" s="126">
        <v>0</v>
      </c>
      <c r="Q30" s="126">
        <v>0</v>
      </c>
      <c r="R30" s="126">
        <v>0</v>
      </c>
      <c r="S30" s="127">
        <f t="shared" si="8"/>
        <v>150</v>
      </c>
      <c r="T30" s="132"/>
      <c r="V30" s="132"/>
      <c r="W30" s="132"/>
    </row>
    <row r="31" ht="45.65" customHeight="1" spans="1:23" x14ac:dyDescent="0.25">
      <c r="A31" s="121">
        <v>26</v>
      </c>
      <c r="B31" s="122">
        <v>1026</v>
      </c>
      <c r="C31" s="123" t="s">
        <v>73</v>
      </c>
      <c r="D31" s="124"/>
      <c r="E31" s="123"/>
      <c r="F31" s="122">
        <v>420</v>
      </c>
      <c r="G31" s="125">
        <v>26</v>
      </c>
      <c r="H31" s="125">
        <v>0</v>
      </c>
      <c r="I31" s="126">
        <f t="shared" si="6"/>
        <v>420</v>
      </c>
      <c r="J31" s="126">
        <v>0</v>
      </c>
      <c r="K31" s="126">
        <v>0</v>
      </c>
      <c r="L31" s="126">
        <v>0</v>
      </c>
      <c r="M31" s="126">
        <v>0</v>
      </c>
      <c r="N31" s="126">
        <f t="shared" si="7"/>
        <v>420</v>
      </c>
      <c r="O31" s="126">
        <v>0</v>
      </c>
      <c r="P31" s="126">
        <v>0</v>
      </c>
      <c r="Q31" s="126">
        <v>0</v>
      </c>
      <c r="R31" s="126">
        <v>0</v>
      </c>
      <c r="S31" s="127">
        <f t="shared" si="8"/>
        <v>420</v>
      </c>
      <c r="T31" s="132"/>
      <c r="V31" s="132"/>
      <c r="W31" s="132"/>
    </row>
    <row r="32" ht="45.65" customHeight="1" spans="1:23" x14ac:dyDescent="0.25">
      <c r="A32" s="121">
        <v>27</v>
      </c>
      <c r="B32" s="129">
        <v>1027</v>
      </c>
      <c r="C32" s="123" t="s">
        <v>74</v>
      </c>
      <c r="D32" s="124"/>
      <c r="E32" s="123" t="s">
        <v>47</v>
      </c>
      <c r="F32" s="122">
        <v>250</v>
      </c>
      <c r="G32" s="125">
        <v>26</v>
      </c>
      <c r="H32" s="125">
        <v>0</v>
      </c>
      <c r="I32" s="126">
        <f t="shared" si="6"/>
        <v>250</v>
      </c>
      <c r="J32" s="126">
        <v>0</v>
      </c>
      <c r="K32" s="126">
        <v>0</v>
      </c>
      <c r="L32" s="126">
        <v>0</v>
      </c>
      <c r="M32" s="126">
        <v>0</v>
      </c>
      <c r="N32" s="126">
        <f t="shared" si="7"/>
        <v>250</v>
      </c>
      <c r="O32" s="126">
        <v>0</v>
      </c>
      <c r="P32" s="126">
        <v>9.615384615384615</v>
      </c>
      <c r="Q32" s="126">
        <v>0</v>
      </c>
      <c r="R32" s="126">
        <v>0</v>
      </c>
      <c r="S32" s="127">
        <f t="shared" si="8"/>
        <v>240.3846153846154</v>
      </c>
      <c r="T32" s="132"/>
      <c r="V32" s="132"/>
      <c r="W32" s="132"/>
    </row>
    <row r="33" ht="45.65" customHeight="1" spans="1:23" x14ac:dyDescent="0.25">
      <c r="A33" s="121">
        <v>28</v>
      </c>
      <c r="B33" s="122">
        <v>1028</v>
      </c>
      <c r="C33" s="123" t="s">
        <v>75</v>
      </c>
      <c r="D33" s="124"/>
      <c r="E33" s="123" t="s">
        <v>76</v>
      </c>
      <c r="F33" s="122">
        <v>250</v>
      </c>
      <c r="G33" s="125">
        <v>26</v>
      </c>
      <c r="H33" s="125">
        <v>0</v>
      </c>
      <c r="I33" s="126">
        <f t="shared" si="6"/>
        <v>250</v>
      </c>
      <c r="J33" s="126">
        <v>0</v>
      </c>
      <c r="K33" s="126">
        <v>0</v>
      </c>
      <c r="L33" s="126">
        <v>0</v>
      </c>
      <c r="M33" s="126">
        <v>0</v>
      </c>
      <c r="N33" s="126">
        <f t="shared" si="7"/>
        <v>250</v>
      </c>
      <c r="O33" s="126">
        <v>0</v>
      </c>
      <c r="P33" s="126">
        <v>0</v>
      </c>
      <c r="Q33" s="126">
        <v>0</v>
      </c>
      <c r="R33" s="126">
        <v>0</v>
      </c>
      <c r="S33" s="127">
        <f t="shared" si="8"/>
        <v>250</v>
      </c>
      <c r="T33" s="132" t="s">
        <v>57</v>
      </c>
      <c r="V33" s="132">
        <v>600</v>
      </c>
      <c r="W33" s="134">
        <f>S33-V33</f>
        <v>-350</v>
      </c>
    </row>
    <row r="34" ht="45.65" customHeight="1" spans="1:23" x14ac:dyDescent="0.25">
      <c r="A34" s="121">
        <v>29</v>
      </c>
      <c r="B34" s="129">
        <v>1029</v>
      </c>
      <c r="C34" s="123" t="s">
        <v>77</v>
      </c>
      <c r="D34" s="124"/>
      <c r="E34" s="123" t="s">
        <v>78</v>
      </c>
      <c r="F34" s="122">
        <v>350</v>
      </c>
      <c r="G34" s="125">
        <v>26</v>
      </c>
      <c r="H34" s="125">
        <v>0</v>
      </c>
      <c r="I34" s="126">
        <f t="shared" si="6"/>
        <v>350</v>
      </c>
      <c r="J34" s="126">
        <v>0</v>
      </c>
      <c r="K34" s="126">
        <v>0</v>
      </c>
      <c r="L34" s="126">
        <v>0</v>
      </c>
      <c r="M34" s="126">
        <v>0</v>
      </c>
      <c r="N34" s="126">
        <f t="shared" si="7"/>
        <v>350</v>
      </c>
      <c r="O34" s="126">
        <v>0</v>
      </c>
      <c r="P34" s="126">
        <v>0</v>
      </c>
      <c r="Q34" s="126">
        <v>0</v>
      </c>
      <c r="R34" s="126">
        <v>0</v>
      </c>
      <c r="S34" s="127">
        <f t="shared" si="8"/>
        <v>350</v>
      </c>
      <c r="T34" s="132"/>
      <c r="V34" s="132"/>
      <c r="W34" s="132"/>
    </row>
    <row r="35" ht="45.65" customHeight="1" spans="1:23" x14ac:dyDescent="0.25">
      <c r="A35" s="121">
        <v>30</v>
      </c>
      <c r="B35" s="122">
        <v>1030</v>
      </c>
      <c r="C35" s="123" t="s">
        <v>79</v>
      </c>
      <c r="D35" s="124"/>
      <c r="E35" s="123"/>
      <c r="F35" s="122">
        <v>400</v>
      </c>
      <c r="G35" s="125">
        <v>26</v>
      </c>
      <c r="H35" s="125">
        <v>0</v>
      </c>
      <c r="I35" s="126">
        <f t="shared" si="6"/>
        <v>400</v>
      </c>
      <c r="J35" s="126">
        <v>0</v>
      </c>
      <c r="K35" s="126">
        <v>0</v>
      </c>
      <c r="L35" s="126">
        <v>0</v>
      </c>
      <c r="M35" s="126">
        <v>0</v>
      </c>
      <c r="N35" s="126">
        <f t="shared" si="7"/>
        <v>400</v>
      </c>
      <c r="O35" s="126">
        <v>0</v>
      </c>
      <c r="P35" s="126">
        <v>0</v>
      </c>
      <c r="Q35" s="126">
        <v>0</v>
      </c>
      <c r="R35" s="126">
        <v>0</v>
      </c>
      <c r="S35" s="127">
        <f t="shared" si="8"/>
        <v>400</v>
      </c>
      <c r="T35" s="132"/>
      <c r="V35" s="132"/>
      <c r="W35" s="132"/>
    </row>
    <row r="36" ht="45.65" customHeight="1" spans="1:23" x14ac:dyDescent="0.25">
      <c r="A36" s="121">
        <v>31</v>
      </c>
      <c r="B36" s="129">
        <v>1031</v>
      </c>
      <c r="C36" s="123" t="s">
        <v>80</v>
      </c>
      <c r="D36" s="124"/>
      <c r="E36" s="123" t="s">
        <v>43</v>
      </c>
      <c r="F36" s="122">
        <v>250</v>
      </c>
      <c r="G36" s="125">
        <v>26</v>
      </c>
      <c r="H36" s="125">
        <v>0</v>
      </c>
      <c r="I36" s="126">
        <f t="shared" si="6"/>
        <v>250</v>
      </c>
      <c r="J36" s="126">
        <v>0</v>
      </c>
      <c r="K36" s="126">
        <v>0</v>
      </c>
      <c r="L36" s="126">
        <v>0</v>
      </c>
      <c r="M36" s="126">
        <v>0</v>
      </c>
      <c r="N36" s="126">
        <f t="shared" si="7"/>
        <v>250</v>
      </c>
      <c r="O36" s="126">
        <v>0</v>
      </c>
      <c r="P36" s="126">
        <v>0</v>
      </c>
      <c r="Q36" s="126">
        <v>0</v>
      </c>
      <c r="R36" s="126">
        <v>0</v>
      </c>
      <c r="S36" s="127">
        <f t="shared" si="8"/>
        <v>250</v>
      </c>
      <c r="T36" s="132"/>
      <c r="V36" s="132"/>
      <c r="W36" s="132"/>
    </row>
    <row r="37" ht="45.65" customHeight="1" spans="1:23" x14ac:dyDescent="0.25">
      <c r="A37" s="121">
        <v>32</v>
      </c>
      <c r="B37" s="122">
        <v>1032</v>
      </c>
      <c r="C37" s="123" t="s">
        <v>81</v>
      </c>
      <c r="D37" s="124"/>
      <c r="E37" s="123" t="s">
        <v>82</v>
      </c>
      <c r="F37" s="122">
        <v>350</v>
      </c>
      <c r="G37" s="125">
        <v>26</v>
      </c>
      <c r="H37" s="125">
        <v>0</v>
      </c>
      <c r="I37" s="126">
        <f t="shared" si="6"/>
        <v>350</v>
      </c>
      <c r="J37" s="126">
        <v>0</v>
      </c>
      <c r="K37" s="126">
        <v>0</v>
      </c>
      <c r="L37" s="126">
        <v>0</v>
      </c>
      <c r="M37" s="126">
        <v>0</v>
      </c>
      <c r="N37" s="126">
        <f t="shared" si="7"/>
        <v>350</v>
      </c>
      <c r="O37" s="126">
        <v>0</v>
      </c>
      <c r="P37" s="126">
        <v>0</v>
      </c>
      <c r="Q37" s="126">
        <v>0</v>
      </c>
      <c r="R37" s="126">
        <v>0</v>
      </c>
      <c r="S37" s="127">
        <f t="shared" si="8"/>
        <v>350</v>
      </c>
      <c r="T37" s="132"/>
      <c r="V37" s="132"/>
      <c r="W37" s="132"/>
    </row>
    <row r="38" ht="45.65" customHeight="1" spans="1:23" x14ac:dyDescent="0.25">
      <c r="A38" s="121">
        <v>33</v>
      </c>
      <c r="B38" s="129">
        <v>1033</v>
      </c>
      <c r="C38" s="123" t="s">
        <v>83</v>
      </c>
      <c r="D38" s="124"/>
      <c r="E38" s="123" t="s">
        <v>78</v>
      </c>
      <c r="F38" s="122">
        <v>250</v>
      </c>
      <c r="G38" s="125">
        <v>26</v>
      </c>
      <c r="H38" s="125">
        <v>0</v>
      </c>
      <c r="I38" s="126">
        <f t="shared" si="6"/>
        <v>250</v>
      </c>
      <c r="J38" s="126">
        <v>0</v>
      </c>
      <c r="K38" s="126">
        <v>0</v>
      </c>
      <c r="L38" s="126">
        <v>0</v>
      </c>
      <c r="M38" s="126">
        <v>0</v>
      </c>
      <c r="N38" s="126">
        <f t="shared" si="7"/>
        <v>250</v>
      </c>
      <c r="O38" s="126">
        <v>0</v>
      </c>
      <c r="P38" s="126">
        <v>0</v>
      </c>
      <c r="Q38" s="126">
        <v>0</v>
      </c>
      <c r="R38" s="126">
        <v>0</v>
      </c>
      <c r="S38" s="127">
        <f t="shared" si="8"/>
        <v>250</v>
      </c>
      <c r="T38" s="132" t="s">
        <v>57</v>
      </c>
      <c r="V38" s="132">
        <v>600</v>
      </c>
      <c r="W38" s="134">
        <f>S38-V38</f>
        <v>-350</v>
      </c>
    </row>
    <row r="39" ht="45.65" customHeight="1" spans="1:23" x14ac:dyDescent="0.25">
      <c r="A39" s="121">
        <v>34</v>
      </c>
      <c r="B39" s="122">
        <v>1034</v>
      </c>
      <c r="C39" s="123" t="s">
        <v>84</v>
      </c>
      <c r="D39" s="124"/>
      <c r="E39" s="123" t="s">
        <v>78</v>
      </c>
      <c r="F39" s="122">
        <v>250</v>
      </c>
      <c r="G39" s="125">
        <v>26</v>
      </c>
      <c r="H39" s="125">
        <v>0</v>
      </c>
      <c r="I39" s="126">
        <f t="shared" si="6"/>
        <v>250</v>
      </c>
      <c r="J39" s="126">
        <v>0</v>
      </c>
      <c r="K39" s="126">
        <v>0</v>
      </c>
      <c r="L39" s="126">
        <v>0</v>
      </c>
      <c r="M39" s="126">
        <v>0</v>
      </c>
      <c r="N39" s="126">
        <f t="shared" si="7"/>
        <v>250</v>
      </c>
      <c r="O39" s="126">
        <v>0</v>
      </c>
      <c r="P39" s="126">
        <v>0</v>
      </c>
      <c r="Q39" s="126">
        <v>0</v>
      </c>
      <c r="R39" s="126">
        <v>0</v>
      </c>
      <c r="S39" s="127">
        <f t="shared" si="8"/>
        <v>250</v>
      </c>
      <c r="T39" s="132"/>
      <c r="V39" s="132"/>
      <c r="W39" s="132"/>
    </row>
    <row r="40" ht="45.65" customHeight="1" spans="1:23" x14ac:dyDescent="0.25">
      <c r="A40" s="121">
        <v>35</v>
      </c>
      <c r="B40" s="129">
        <v>1035</v>
      </c>
      <c r="C40" s="123" t="s">
        <v>85</v>
      </c>
      <c r="D40" s="124"/>
      <c r="E40" s="123" t="s">
        <v>43</v>
      </c>
      <c r="F40" s="122">
        <v>250</v>
      </c>
      <c r="G40" s="125">
        <v>26</v>
      </c>
      <c r="H40" s="125">
        <v>0</v>
      </c>
      <c r="I40" s="126">
        <f t="shared" si="6"/>
        <v>250</v>
      </c>
      <c r="J40" s="126">
        <v>0</v>
      </c>
      <c r="K40" s="126">
        <v>0</v>
      </c>
      <c r="L40" s="126">
        <v>0</v>
      </c>
      <c r="M40" s="126">
        <v>0</v>
      </c>
      <c r="N40" s="126">
        <f t="shared" si="7"/>
        <v>250</v>
      </c>
      <c r="O40" s="126">
        <v>0</v>
      </c>
      <c r="P40" s="126">
        <v>0</v>
      </c>
      <c r="Q40" s="126">
        <v>0</v>
      </c>
      <c r="R40" s="126">
        <v>0</v>
      </c>
      <c r="S40" s="127">
        <f t="shared" si="8"/>
        <v>250</v>
      </c>
      <c r="T40" s="132"/>
      <c r="V40" s="132"/>
      <c r="W40" s="132"/>
    </row>
    <row r="41" ht="45.65" customHeight="1" spans="1:23" x14ac:dyDescent="0.25">
      <c r="A41" s="121">
        <v>36</v>
      </c>
      <c r="B41" s="122">
        <v>1036</v>
      </c>
      <c r="C41" s="123" t="s">
        <v>86</v>
      </c>
      <c r="D41" s="124"/>
      <c r="E41" s="123" t="s">
        <v>37</v>
      </c>
      <c r="F41" s="122">
        <v>120</v>
      </c>
      <c r="G41" s="125">
        <v>26</v>
      </c>
      <c r="H41" s="125">
        <v>0</v>
      </c>
      <c r="I41" s="126">
        <f t="shared" si="6"/>
        <v>119.99999999999999</v>
      </c>
      <c r="J41" s="126">
        <v>0</v>
      </c>
      <c r="K41" s="126">
        <v>0</v>
      </c>
      <c r="L41" s="126">
        <v>0</v>
      </c>
      <c r="M41" s="126">
        <v>0</v>
      </c>
      <c r="N41" s="126">
        <f t="shared" si="7"/>
        <v>119.99999999999999</v>
      </c>
      <c r="O41" s="126">
        <v>0</v>
      </c>
      <c r="P41" s="126">
        <v>0</v>
      </c>
      <c r="Q41" s="126">
        <v>0</v>
      </c>
      <c r="R41" s="126">
        <v>0</v>
      </c>
      <c r="S41" s="127">
        <f t="shared" si="8"/>
        <v>119.99999999999999</v>
      </c>
      <c r="T41" s="132"/>
      <c r="V41" s="132"/>
      <c r="W41" s="132"/>
    </row>
    <row r="42" ht="45.65" customHeight="1" spans="1:23" x14ac:dyDescent="0.25">
      <c r="A42" s="121">
        <v>37</v>
      </c>
      <c r="B42" s="129">
        <v>1037</v>
      </c>
      <c r="C42" s="123" t="s">
        <v>87</v>
      </c>
      <c r="D42" s="124"/>
      <c r="E42" s="123"/>
      <c r="F42" s="122">
        <v>150</v>
      </c>
      <c r="G42" s="125">
        <v>26</v>
      </c>
      <c r="H42" s="125">
        <v>0</v>
      </c>
      <c r="I42" s="126">
        <f t="shared" si="6"/>
        <v>150</v>
      </c>
      <c r="J42" s="126">
        <v>0</v>
      </c>
      <c r="K42" s="126">
        <v>0</v>
      </c>
      <c r="L42" s="126">
        <v>0</v>
      </c>
      <c r="M42" s="126">
        <v>0</v>
      </c>
      <c r="N42" s="126">
        <f t="shared" si="7"/>
        <v>150</v>
      </c>
      <c r="O42" s="126">
        <v>0</v>
      </c>
      <c r="P42" s="126">
        <v>86.538</v>
      </c>
      <c r="Q42" s="126">
        <v>0</v>
      </c>
      <c r="R42" s="126">
        <v>0</v>
      </c>
      <c r="S42" s="127">
        <f t="shared" si="8"/>
        <v>63.462</v>
      </c>
      <c r="T42" s="132"/>
      <c r="V42" s="132"/>
      <c r="W42" s="132"/>
    </row>
    <row r="43" ht="45.65" customHeight="1" spans="1:23" x14ac:dyDescent="0.25">
      <c r="A43" s="121">
        <v>38</v>
      </c>
      <c r="B43" s="122">
        <v>1038</v>
      </c>
      <c r="C43" s="123" t="s">
        <v>88</v>
      </c>
      <c r="D43" s="124"/>
      <c r="E43" s="123" t="s">
        <v>65</v>
      </c>
      <c r="F43" s="122">
        <v>150</v>
      </c>
      <c r="G43" s="125">
        <v>26</v>
      </c>
      <c r="H43" s="125">
        <v>0</v>
      </c>
      <c r="I43" s="126">
        <f t="shared" si="6"/>
        <v>150</v>
      </c>
      <c r="J43" s="126">
        <v>0</v>
      </c>
      <c r="K43" s="126">
        <v>0</v>
      </c>
      <c r="L43" s="126">
        <v>0</v>
      </c>
      <c r="M43" s="126">
        <v>0</v>
      </c>
      <c r="N43" s="126">
        <f t="shared" si="7"/>
        <v>150</v>
      </c>
      <c r="O43" s="126">
        <v>0</v>
      </c>
      <c r="P43" s="126">
        <v>0</v>
      </c>
      <c r="Q43" s="126">
        <v>0</v>
      </c>
      <c r="R43" s="126">
        <v>0</v>
      </c>
      <c r="S43" s="127">
        <f t="shared" si="8"/>
        <v>150</v>
      </c>
      <c r="T43" s="132"/>
      <c r="V43" s="132"/>
      <c r="W43" s="132"/>
    </row>
    <row r="44" ht="45.65" customHeight="1" spans="1:23" x14ac:dyDescent="0.25">
      <c r="A44" s="121">
        <v>39</v>
      </c>
      <c r="B44" s="129">
        <v>1039</v>
      </c>
      <c r="C44" s="123" t="s">
        <v>89</v>
      </c>
      <c r="D44" s="124"/>
      <c r="E44" s="123"/>
      <c r="F44" s="122">
        <v>150</v>
      </c>
      <c r="G44" s="125">
        <v>26</v>
      </c>
      <c r="H44" s="125">
        <v>0</v>
      </c>
      <c r="I44" s="126">
        <f t="shared" si="6"/>
        <v>150</v>
      </c>
      <c r="J44" s="126">
        <v>0</v>
      </c>
      <c r="K44" s="126">
        <v>0</v>
      </c>
      <c r="L44" s="126">
        <v>0</v>
      </c>
      <c r="M44" s="126">
        <v>0</v>
      </c>
      <c r="N44" s="126">
        <f t="shared" si="7"/>
        <v>150</v>
      </c>
      <c r="O44" s="126">
        <v>0</v>
      </c>
      <c r="P44" s="126">
        <v>0</v>
      </c>
      <c r="Q44" s="126">
        <v>0</v>
      </c>
      <c r="R44" s="126">
        <v>0</v>
      </c>
      <c r="S44" s="127">
        <f t="shared" si="8"/>
        <v>150</v>
      </c>
      <c r="T44" s="132"/>
      <c r="V44" s="132"/>
      <c r="W44" s="132"/>
    </row>
    <row r="45" ht="45.65" customHeight="1" spans="1:23" x14ac:dyDescent="0.25">
      <c r="A45" s="121">
        <v>40</v>
      </c>
      <c r="B45" s="122">
        <v>1040</v>
      </c>
      <c r="C45" s="123" t="s">
        <v>90</v>
      </c>
      <c r="D45" s="124"/>
      <c r="E45" s="123"/>
      <c r="F45" s="122">
        <v>400</v>
      </c>
      <c r="G45" s="125">
        <v>26</v>
      </c>
      <c r="H45" s="125">
        <v>0</v>
      </c>
      <c r="I45" s="126">
        <f t="shared" si="6"/>
        <v>400</v>
      </c>
      <c r="J45" s="126">
        <v>0</v>
      </c>
      <c r="K45" s="126">
        <v>0</v>
      </c>
      <c r="L45" s="126">
        <v>0</v>
      </c>
      <c r="M45" s="126">
        <v>0</v>
      </c>
      <c r="N45" s="126">
        <f t="shared" si="7"/>
        <v>400</v>
      </c>
      <c r="O45" s="126">
        <v>0</v>
      </c>
      <c r="P45" s="126">
        <v>0</v>
      </c>
      <c r="Q45" s="126">
        <v>0</v>
      </c>
      <c r="R45" s="126">
        <v>0</v>
      </c>
      <c r="S45" s="127">
        <f t="shared" si="8"/>
        <v>400</v>
      </c>
      <c r="T45" s="132" t="s">
        <v>57</v>
      </c>
      <c r="V45" s="132">
        <v>750</v>
      </c>
      <c r="W45" s="134">
        <f>S45-V45</f>
        <v>-350</v>
      </c>
    </row>
    <row r="46" ht="45.65" customHeight="1" spans="1:23" x14ac:dyDescent="0.25">
      <c r="A46" s="121">
        <v>41</v>
      </c>
      <c r="B46" s="129">
        <v>1041</v>
      </c>
      <c r="C46" s="123" t="s">
        <v>91</v>
      </c>
      <c r="D46" s="124"/>
      <c r="E46" s="123"/>
      <c r="F46" s="122">
        <v>0</v>
      </c>
      <c r="G46" s="125">
        <v>26</v>
      </c>
      <c r="H46" s="125">
        <v>0</v>
      </c>
      <c r="I46" s="126">
        <f t="shared" si="6"/>
        <v>0</v>
      </c>
      <c r="J46" s="126">
        <v>0</v>
      </c>
      <c r="K46" s="126">
        <v>0</v>
      </c>
      <c r="L46" s="126">
        <v>0</v>
      </c>
      <c r="M46" s="126">
        <v>0</v>
      </c>
      <c r="N46" s="126">
        <f t="shared" si="7"/>
        <v>0</v>
      </c>
      <c r="O46" s="126">
        <v>0</v>
      </c>
      <c r="P46" s="126">
        <v>0</v>
      </c>
      <c r="Q46" s="126">
        <v>0</v>
      </c>
      <c r="R46" s="126">
        <v>0</v>
      </c>
      <c r="S46" s="127">
        <f t="shared" si="8"/>
        <v>0</v>
      </c>
      <c r="T46" s="132" t="s">
        <v>57</v>
      </c>
      <c r="V46" s="132">
        <v>350</v>
      </c>
      <c r="W46" s="134">
        <f t="shared" ref="W46:W50" si="9">S46-V46</f>
        <v>-350</v>
      </c>
    </row>
    <row r="47" ht="45.65" customHeight="1" spans="1:23" x14ac:dyDescent="0.25">
      <c r="A47" s="121">
        <v>42</v>
      </c>
      <c r="B47" s="122">
        <v>1042</v>
      </c>
      <c r="C47" s="123" t="s">
        <v>92</v>
      </c>
      <c r="D47" s="124"/>
      <c r="E47" s="123"/>
      <c r="F47" s="122">
        <v>0</v>
      </c>
      <c r="G47" s="125">
        <v>26</v>
      </c>
      <c r="H47" s="125">
        <v>0</v>
      </c>
      <c r="I47" s="126">
        <f t="shared" si="6"/>
        <v>0</v>
      </c>
      <c r="J47" s="126">
        <v>0</v>
      </c>
      <c r="K47" s="126">
        <v>0</v>
      </c>
      <c r="L47" s="126">
        <v>0</v>
      </c>
      <c r="M47" s="126">
        <v>0</v>
      </c>
      <c r="N47" s="126">
        <f t="shared" si="7"/>
        <v>0</v>
      </c>
      <c r="O47" s="126">
        <v>0</v>
      </c>
      <c r="P47" s="126">
        <v>0</v>
      </c>
      <c r="Q47" s="126">
        <v>0</v>
      </c>
      <c r="R47" s="126">
        <v>0</v>
      </c>
      <c r="S47" s="127">
        <f t="shared" si="8"/>
        <v>0</v>
      </c>
      <c r="T47" s="132" t="s">
        <v>57</v>
      </c>
      <c r="V47" s="132">
        <v>300</v>
      </c>
      <c r="W47" s="134">
        <f t="shared" si="9"/>
        <v>-300</v>
      </c>
    </row>
    <row r="48" ht="45.65" customHeight="1" spans="1:23" x14ac:dyDescent="0.25">
      <c r="A48" s="121">
        <v>43</v>
      </c>
      <c r="B48" s="129">
        <v>1043</v>
      </c>
      <c r="C48" s="123" t="s">
        <v>93</v>
      </c>
      <c r="D48" s="124"/>
      <c r="E48" s="123"/>
      <c r="F48" s="122">
        <v>0</v>
      </c>
      <c r="G48" s="125">
        <v>26</v>
      </c>
      <c r="H48" s="125">
        <v>0</v>
      </c>
      <c r="I48" s="126">
        <f t="shared" si="6"/>
        <v>0</v>
      </c>
      <c r="J48" s="126">
        <v>0</v>
      </c>
      <c r="K48" s="126">
        <v>0</v>
      </c>
      <c r="L48" s="126">
        <v>0</v>
      </c>
      <c r="M48" s="126">
        <v>0</v>
      </c>
      <c r="N48" s="126">
        <f t="shared" si="7"/>
        <v>0</v>
      </c>
      <c r="O48" s="126">
        <v>0</v>
      </c>
      <c r="P48" s="126">
        <v>0</v>
      </c>
      <c r="Q48" s="126">
        <v>0</v>
      </c>
      <c r="R48" s="126">
        <v>0</v>
      </c>
      <c r="S48" s="127">
        <f t="shared" si="8"/>
        <v>0</v>
      </c>
      <c r="T48" s="132" t="s">
        <v>57</v>
      </c>
      <c r="V48" s="132">
        <v>600</v>
      </c>
      <c r="W48" s="134">
        <f t="shared" si="9"/>
        <v>-600</v>
      </c>
    </row>
    <row r="49" ht="45.65" customHeight="1" spans="1:23" x14ac:dyDescent="0.25">
      <c r="A49" s="121">
        <v>44</v>
      </c>
      <c r="B49" s="122">
        <v>1044</v>
      </c>
      <c r="C49" s="123" t="s">
        <v>94</v>
      </c>
      <c r="D49" s="124"/>
      <c r="E49" s="123"/>
      <c r="F49" s="122">
        <v>0</v>
      </c>
      <c r="G49" s="125">
        <v>26</v>
      </c>
      <c r="H49" s="125">
        <v>0</v>
      </c>
      <c r="I49" s="126">
        <f t="shared" si="3"/>
        <v>0</v>
      </c>
      <c r="J49" s="126">
        <v>0</v>
      </c>
      <c r="K49" s="126">
        <v>0</v>
      </c>
      <c r="L49" s="126">
        <v>0</v>
      </c>
      <c r="M49" s="126">
        <v>0</v>
      </c>
      <c r="N49" s="126">
        <f t="shared" si="4"/>
        <v>0</v>
      </c>
      <c r="O49" s="126">
        <v>0</v>
      </c>
      <c r="P49" s="126">
        <v>0</v>
      </c>
      <c r="Q49" s="126">
        <v>0</v>
      </c>
      <c r="R49" s="126">
        <v>0</v>
      </c>
      <c r="S49" s="127">
        <f t="shared" si="5"/>
        <v>0</v>
      </c>
      <c r="T49" s="132" t="s">
        <v>57</v>
      </c>
      <c r="V49" s="132">
        <v>150</v>
      </c>
      <c r="W49" s="134">
        <f t="shared" si="9"/>
        <v>-150</v>
      </c>
    </row>
    <row r="50" ht="45.65" customHeight="1" spans="1:23" x14ac:dyDescent="0.25">
      <c r="A50" s="121">
        <v>45</v>
      </c>
      <c r="B50" s="129">
        <v>1045</v>
      </c>
      <c r="C50" s="123" t="s">
        <v>95</v>
      </c>
      <c r="D50" s="124"/>
      <c r="E50" s="123" t="s">
        <v>67</v>
      </c>
      <c r="F50" s="122">
        <v>0</v>
      </c>
      <c r="G50" s="125">
        <v>26</v>
      </c>
      <c r="H50" s="125">
        <v>0</v>
      </c>
      <c r="I50" s="126">
        <f t="shared" si="3"/>
        <v>0</v>
      </c>
      <c r="J50" s="126">
        <v>0</v>
      </c>
      <c r="K50" s="126">
        <v>0</v>
      </c>
      <c r="L50" s="126">
        <v>0</v>
      </c>
      <c r="M50" s="126">
        <v>0</v>
      </c>
      <c r="N50" s="126">
        <f t="shared" si="4"/>
        <v>0</v>
      </c>
      <c r="O50" s="126">
        <v>0</v>
      </c>
      <c r="P50" s="126">
        <v>0</v>
      </c>
      <c r="Q50" s="126">
        <v>0</v>
      </c>
      <c r="R50" s="126">
        <v>0</v>
      </c>
      <c r="S50" s="127">
        <f t="shared" si="5"/>
        <v>0</v>
      </c>
      <c r="T50" s="132" t="s">
        <v>57</v>
      </c>
      <c r="V50" s="132">
        <v>150</v>
      </c>
      <c r="W50" s="134">
        <f t="shared" si="9"/>
        <v>-150</v>
      </c>
    </row>
    <row r="51" ht="45.65" customHeight="1" hidden="1" spans="1:20" x14ac:dyDescent="0.25">
      <c r="A51" s="121">
        <v>46</v>
      </c>
      <c r="B51" s="122">
        <v>1046</v>
      </c>
      <c r="C51" s="135"/>
      <c r="D51" s="44"/>
      <c r="E51" s="135"/>
      <c r="F51" s="58"/>
      <c r="G51" s="46">
        <v>26</v>
      </c>
      <c r="H51" s="47">
        <v>0</v>
      </c>
      <c r="I51" s="51">
        <f t="shared" si="3"/>
        <v>0</v>
      </c>
      <c r="J51" s="48">
        <v>0</v>
      </c>
      <c r="K51" s="48">
        <v>0</v>
      </c>
      <c r="L51" s="48">
        <v>0</v>
      </c>
      <c r="M51" s="48">
        <v>0</v>
      </c>
      <c r="N51" s="52">
        <f t="shared" si="4"/>
        <v>0</v>
      </c>
      <c r="O51" s="136">
        <v>0</v>
      </c>
      <c r="P51" s="48">
        <v>0</v>
      </c>
      <c r="Q51" s="48">
        <v>0</v>
      </c>
      <c r="R51" s="52">
        <v>0</v>
      </c>
      <c r="S51" s="137">
        <f t="shared" si="5"/>
        <v>0</v>
      </c>
      <c r="T51" s="132"/>
    </row>
    <row r="52" ht="45.65" customHeight="1" hidden="1" spans="1:20" x14ac:dyDescent="0.25">
      <c r="A52" s="121">
        <v>47</v>
      </c>
      <c r="B52" s="129">
        <v>1047</v>
      </c>
      <c r="C52" s="135"/>
      <c r="D52" s="44"/>
      <c r="E52" s="135"/>
      <c r="F52" s="58"/>
      <c r="G52" s="46">
        <v>26</v>
      </c>
      <c r="H52" s="47">
        <v>0</v>
      </c>
      <c r="I52" s="51">
        <f t="shared" si="3"/>
        <v>0</v>
      </c>
      <c r="J52" s="48">
        <v>0</v>
      </c>
      <c r="K52" s="48">
        <v>0</v>
      </c>
      <c r="L52" s="48">
        <v>0</v>
      </c>
      <c r="M52" s="48">
        <v>0</v>
      </c>
      <c r="N52" s="52">
        <f t="shared" si="4"/>
        <v>0</v>
      </c>
      <c r="O52" s="136">
        <v>0</v>
      </c>
      <c r="P52" s="48">
        <v>0</v>
      </c>
      <c r="Q52" s="48">
        <v>0</v>
      </c>
      <c r="R52" s="52">
        <v>0</v>
      </c>
      <c r="S52" s="137">
        <f t="shared" si="5"/>
        <v>0</v>
      </c>
      <c r="T52" s="132"/>
    </row>
    <row r="53" ht="45.65" customHeight="1" hidden="1" spans="1:20" x14ac:dyDescent="0.25">
      <c r="A53" s="121">
        <v>48</v>
      </c>
      <c r="B53" s="122">
        <v>1048</v>
      </c>
      <c r="C53" s="135"/>
      <c r="D53" s="44"/>
      <c r="E53" s="135"/>
      <c r="F53" s="58"/>
      <c r="G53" s="46">
        <v>26</v>
      </c>
      <c r="H53" s="47">
        <v>0</v>
      </c>
      <c r="I53" s="51">
        <f t="shared" si="3"/>
        <v>0</v>
      </c>
      <c r="J53" s="48">
        <v>0</v>
      </c>
      <c r="K53" s="48">
        <v>0</v>
      </c>
      <c r="L53" s="48">
        <v>0</v>
      </c>
      <c r="M53" s="48">
        <v>0</v>
      </c>
      <c r="N53" s="52">
        <f t="shared" si="4"/>
        <v>0</v>
      </c>
      <c r="O53" s="136">
        <v>0</v>
      </c>
      <c r="P53" s="48">
        <v>0</v>
      </c>
      <c r="Q53" s="48">
        <v>0</v>
      </c>
      <c r="R53" s="52">
        <v>0</v>
      </c>
      <c r="S53" s="137">
        <f t="shared" si="5"/>
        <v>0</v>
      </c>
      <c r="T53" s="132"/>
    </row>
    <row r="54" ht="45.65" customHeight="1" hidden="1" spans="1:20" x14ac:dyDescent="0.25">
      <c r="A54" s="121">
        <v>49</v>
      </c>
      <c r="B54" s="129">
        <v>1049</v>
      </c>
      <c r="C54" s="135"/>
      <c r="D54" s="44"/>
      <c r="E54" s="135"/>
      <c r="F54" s="58"/>
      <c r="G54" s="46">
        <v>26</v>
      </c>
      <c r="H54" s="47">
        <v>0</v>
      </c>
      <c r="I54" s="51">
        <f t="shared" si="3"/>
        <v>0</v>
      </c>
      <c r="J54" s="48">
        <v>0</v>
      </c>
      <c r="K54" s="48">
        <v>0</v>
      </c>
      <c r="L54" s="48">
        <v>0</v>
      </c>
      <c r="M54" s="48">
        <v>0</v>
      </c>
      <c r="N54" s="52">
        <f t="shared" si="4"/>
        <v>0</v>
      </c>
      <c r="O54" s="136">
        <v>0</v>
      </c>
      <c r="P54" s="48">
        <v>0</v>
      </c>
      <c r="Q54" s="48">
        <v>0</v>
      </c>
      <c r="R54" s="52">
        <v>0</v>
      </c>
      <c r="S54" s="137">
        <f t="shared" si="5"/>
        <v>0</v>
      </c>
      <c r="T54" s="132"/>
    </row>
    <row r="55" ht="45.65" customHeight="1" hidden="1" spans="1:20" x14ac:dyDescent="0.25">
      <c r="A55" s="121">
        <v>50</v>
      </c>
      <c r="B55" s="122">
        <v>1050</v>
      </c>
      <c r="C55" s="135"/>
      <c r="D55" s="44"/>
      <c r="E55" s="135"/>
      <c r="F55" s="58"/>
      <c r="G55" s="46">
        <v>26</v>
      </c>
      <c r="H55" s="47">
        <v>0</v>
      </c>
      <c r="I55" s="51">
        <f t="shared" si="3"/>
        <v>0</v>
      </c>
      <c r="J55" s="48">
        <v>0</v>
      </c>
      <c r="K55" s="48">
        <v>0</v>
      </c>
      <c r="L55" s="48">
        <v>0</v>
      </c>
      <c r="M55" s="48">
        <v>0</v>
      </c>
      <c r="N55" s="52">
        <f t="shared" si="4"/>
        <v>0</v>
      </c>
      <c r="O55" s="136">
        <v>0</v>
      </c>
      <c r="P55" s="48">
        <v>0</v>
      </c>
      <c r="Q55" s="48">
        <v>0</v>
      </c>
      <c r="R55" s="52">
        <v>0</v>
      </c>
      <c r="S55" s="137">
        <f t="shared" si="5"/>
        <v>0</v>
      </c>
      <c r="T55" s="132"/>
    </row>
    <row r="56" ht="45.65" customHeight="1" hidden="1" spans="1:20" x14ac:dyDescent="0.25">
      <c r="A56" s="121">
        <v>51</v>
      </c>
      <c r="B56" s="129">
        <v>1051</v>
      </c>
      <c r="C56" s="135"/>
      <c r="D56" s="44"/>
      <c r="E56" s="135"/>
      <c r="F56" s="58"/>
      <c r="G56" s="46">
        <v>26</v>
      </c>
      <c r="H56" s="47">
        <v>0</v>
      </c>
      <c r="I56" s="51">
        <f t="shared" si="3"/>
        <v>0</v>
      </c>
      <c r="J56" s="48">
        <v>0</v>
      </c>
      <c r="K56" s="48">
        <v>0</v>
      </c>
      <c r="L56" s="48">
        <v>0</v>
      </c>
      <c r="M56" s="48">
        <v>0</v>
      </c>
      <c r="N56" s="52">
        <f t="shared" si="4"/>
        <v>0</v>
      </c>
      <c r="O56" s="136">
        <v>0</v>
      </c>
      <c r="P56" s="48">
        <v>0</v>
      </c>
      <c r="Q56" s="48">
        <v>0</v>
      </c>
      <c r="R56" s="52">
        <v>0</v>
      </c>
      <c r="S56" s="137">
        <f t="shared" si="5"/>
        <v>0</v>
      </c>
      <c r="T56" s="132"/>
    </row>
    <row r="57" ht="45.65" customHeight="1" hidden="1" spans="1:20" x14ac:dyDescent="0.25">
      <c r="A57" s="121">
        <v>52</v>
      </c>
      <c r="B57" s="122">
        <v>1052</v>
      </c>
      <c r="C57" s="135"/>
      <c r="D57" s="44"/>
      <c r="E57" s="135"/>
      <c r="F57" s="58"/>
      <c r="G57" s="46">
        <v>26</v>
      </c>
      <c r="H57" s="47">
        <v>0</v>
      </c>
      <c r="I57" s="51">
        <f t="shared" si="3"/>
        <v>0</v>
      </c>
      <c r="J57" s="48">
        <v>0</v>
      </c>
      <c r="K57" s="48">
        <v>0</v>
      </c>
      <c r="L57" s="48">
        <v>0</v>
      </c>
      <c r="M57" s="48">
        <v>0</v>
      </c>
      <c r="N57" s="52">
        <f t="shared" si="4"/>
        <v>0</v>
      </c>
      <c r="O57" s="136">
        <v>0</v>
      </c>
      <c r="P57" s="48">
        <v>0</v>
      </c>
      <c r="Q57" s="48">
        <v>0</v>
      </c>
      <c r="R57" s="52">
        <v>0</v>
      </c>
      <c r="S57" s="137">
        <f t="shared" si="5"/>
        <v>0</v>
      </c>
      <c r="T57" s="132"/>
    </row>
    <row r="58" ht="45.65" customHeight="1" hidden="1" spans="1:20" x14ac:dyDescent="0.25">
      <c r="A58" s="121">
        <v>53</v>
      </c>
      <c r="B58" s="129">
        <v>1053</v>
      </c>
      <c r="C58" s="135"/>
      <c r="D58" s="44"/>
      <c r="E58" s="135"/>
      <c r="F58" s="58"/>
      <c r="G58" s="46">
        <v>26</v>
      </c>
      <c r="H58" s="47">
        <v>0</v>
      </c>
      <c r="I58" s="51">
        <f t="shared" si="3"/>
        <v>0</v>
      </c>
      <c r="J58" s="48">
        <v>0</v>
      </c>
      <c r="K58" s="48">
        <v>0</v>
      </c>
      <c r="L58" s="48">
        <v>0</v>
      </c>
      <c r="M58" s="48">
        <v>0</v>
      </c>
      <c r="N58" s="52">
        <f t="shared" si="4"/>
        <v>0</v>
      </c>
      <c r="O58" s="136">
        <v>0</v>
      </c>
      <c r="P58" s="48">
        <v>0</v>
      </c>
      <c r="Q58" s="48">
        <v>0</v>
      </c>
      <c r="R58" s="52">
        <v>0</v>
      </c>
      <c r="S58" s="137">
        <f t="shared" si="5"/>
        <v>0</v>
      </c>
      <c r="T58" s="132"/>
    </row>
    <row r="59" ht="45.65" customHeight="1" hidden="1" spans="1:20" x14ac:dyDescent="0.25">
      <c r="A59" s="121">
        <v>54</v>
      </c>
      <c r="B59" s="122">
        <v>1054</v>
      </c>
      <c r="C59" s="135"/>
      <c r="D59" s="44"/>
      <c r="E59" s="135"/>
      <c r="F59" s="58"/>
      <c r="G59" s="46">
        <v>26</v>
      </c>
      <c r="H59" s="47">
        <v>0</v>
      </c>
      <c r="I59" s="51">
        <f t="shared" si="0"/>
        <v>0</v>
      </c>
      <c r="J59" s="48">
        <v>0</v>
      </c>
      <c r="K59" s="48">
        <v>0</v>
      </c>
      <c r="L59" s="48">
        <v>0</v>
      </c>
      <c r="M59" s="48">
        <v>0</v>
      </c>
      <c r="N59" s="52">
        <f t="shared" si="1"/>
        <v>0</v>
      </c>
      <c r="O59" s="136">
        <v>0</v>
      </c>
      <c r="P59" s="48">
        <v>0</v>
      </c>
      <c r="Q59" s="48">
        <v>0</v>
      </c>
      <c r="R59" s="52">
        <v>0</v>
      </c>
      <c r="S59" s="137">
        <f t="shared" si="2"/>
        <v>0</v>
      </c>
      <c r="T59" s="132"/>
    </row>
    <row r="60" ht="45.65" customHeight="1" hidden="1" spans="1:20" x14ac:dyDescent="0.25">
      <c r="A60" s="121">
        <v>55</v>
      </c>
      <c r="B60" s="129">
        <v>1055</v>
      </c>
      <c r="C60" s="135"/>
      <c r="D60" s="44"/>
      <c r="E60" s="135"/>
      <c r="F60" s="58"/>
      <c r="G60" s="46">
        <v>26</v>
      </c>
      <c r="H60" s="47">
        <v>0</v>
      </c>
      <c r="I60" s="51">
        <f t="shared" si="0"/>
        <v>0</v>
      </c>
      <c r="J60" s="48">
        <v>0</v>
      </c>
      <c r="K60" s="48">
        <v>0</v>
      </c>
      <c r="L60" s="48">
        <v>0</v>
      </c>
      <c r="M60" s="48">
        <v>0</v>
      </c>
      <c r="N60" s="52">
        <f t="shared" si="1"/>
        <v>0</v>
      </c>
      <c r="O60" s="136">
        <v>0</v>
      </c>
      <c r="P60" s="48">
        <v>0</v>
      </c>
      <c r="Q60" s="48">
        <v>0</v>
      </c>
      <c r="R60" s="52">
        <v>0</v>
      </c>
      <c r="S60" s="137">
        <f t="shared" si="2"/>
        <v>0</v>
      </c>
      <c r="T60" s="132"/>
    </row>
    <row r="61" ht="45.65" customHeight="1" hidden="1" spans="1:20" x14ac:dyDescent="0.25">
      <c r="A61" s="121">
        <v>56</v>
      </c>
      <c r="B61" s="122">
        <v>1056</v>
      </c>
      <c r="C61" s="135"/>
      <c r="D61" s="44"/>
      <c r="E61" s="135"/>
      <c r="F61" s="58"/>
      <c r="G61" s="46">
        <v>26</v>
      </c>
      <c r="H61" s="47">
        <v>0</v>
      </c>
      <c r="I61" s="51">
        <f t="shared" si="0"/>
        <v>0</v>
      </c>
      <c r="J61" s="48">
        <v>0</v>
      </c>
      <c r="K61" s="48">
        <v>0</v>
      </c>
      <c r="L61" s="48">
        <v>0</v>
      </c>
      <c r="M61" s="48">
        <v>0</v>
      </c>
      <c r="N61" s="52">
        <f t="shared" si="1"/>
        <v>0</v>
      </c>
      <c r="O61" s="136">
        <v>0</v>
      </c>
      <c r="P61" s="48">
        <v>0</v>
      </c>
      <c r="Q61" s="48">
        <v>0</v>
      </c>
      <c r="R61" s="52">
        <v>0</v>
      </c>
      <c r="S61" s="137">
        <f t="shared" si="2"/>
        <v>0</v>
      </c>
      <c r="T61" s="132"/>
    </row>
    <row r="62" ht="45.65" customHeight="1" hidden="1" spans="1:20" x14ac:dyDescent="0.25">
      <c r="A62" s="121">
        <v>57</v>
      </c>
      <c r="B62" s="129">
        <v>1057</v>
      </c>
      <c r="C62" s="135"/>
      <c r="D62" s="44"/>
      <c r="E62" s="135"/>
      <c r="F62" s="58"/>
      <c r="G62" s="46">
        <v>26</v>
      </c>
      <c r="H62" s="47">
        <v>0</v>
      </c>
      <c r="I62" s="51">
        <f t="shared" si="0"/>
        <v>0</v>
      </c>
      <c r="J62" s="48">
        <v>0</v>
      </c>
      <c r="K62" s="48">
        <v>0</v>
      </c>
      <c r="L62" s="48">
        <v>0</v>
      </c>
      <c r="M62" s="48">
        <v>0</v>
      </c>
      <c r="N62" s="52">
        <f t="shared" si="1"/>
        <v>0</v>
      </c>
      <c r="O62" s="136">
        <v>0</v>
      </c>
      <c r="P62" s="48">
        <v>0</v>
      </c>
      <c r="Q62" s="48">
        <v>0</v>
      </c>
      <c r="R62" s="52">
        <v>0</v>
      </c>
      <c r="S62" s="137">
        <f t="shared" si="2"/>
        <v>0</v>
      </c>
      <c r="T62" s="132"/>
    </row>
    <row r="63" ht="45.65" customHeight="1" hidden="1" spans="1:20" x14ac:dyDescent="0.25">
      <c r="A63" s="121">
        <v>58</v>
      </c>
      <c r="B63" s="122">
        <v>1058</v>
      </c>
      <c r="C63" s="138"/>
      <c r="D63" s="81"/>
      <c r="E63" s="138"/>
      <c r="F63" s="139"/>
      <c r="G63" s="83">
        <v>26</v>
      </c>
      <c r="H63" s="84">
        <v>0</v>
      </c>
      <c r="I63" s="85">
        <f t="shared" si="0"/>
        <v>0</v>
      </c>
      <c r="J63" s="86">
        <v>0</v>
      </c>
      <c r="K63" s="86">
        <v>0</v>
      </c>
      <c r="L63" s="86">
        <v>0</v>
      </c>
      <c r="M63" s="86">
        <v>0</v>
      </c>
      <c r="N63" s="89">
        <f t="shared" si="1"/>
        <v>0</v>
      </c>
      <c r="O63" s="140">
        <v>0</v>
      </c>
      <c r="P63" s="86">
        <v>0</v>
      </c>
      <c r="Q63" s="86">
        <v>0</v>
      </c>
      <c r="R63" s="89">
        <v>0</v>
      </c>
      <c r="S63" s="141">
        <f t="shared" si="2"/>
        <v>0</v>
      </c>
      <c r="T63" s="142"/>
    </row>
    <row r="64" ht="50.15" customHeight="1" spans="1:23" x14ac:dyDescent="0.25">
      <c r="A64" s="143" t="s">
        <v>26</v>
      </c>
      <c r="B64" s="144"/>
      <c r="C64" s="144"/>
      <c r="D64" s="144"/>
      <c r="E64" s="144"/>
      <c r="F64" s="144"/>
      <c r="G64" s="144"/>
      <c r="H64" s="145"/>
      <c r="I64" s="146">
        <f>SUBTOTAL(9,I6:I50)</f>
        <v>10846.9</v>
      </c>
      <c r="J64" s="146">
        <f t="shared" ref="J64:S64" si="10">SUBTOTAL(9,J6:J50)</f>
        <v>0</v>
      </c>
      <c r="K64" s="146">
        <f t="shared" si="10"/>
        <v>0</v>
      </c>
      <c r="L64" s="146">
        <f t="shared" si="10"/>
        <v>0</v>
      </c>
      <c r="M64" s="146">
        <f t="shared" si="10"/>
        <v>0</v>
      </c>
      <c r="N64" s="146">
        <f t="shared" si="10"/>
        <v>10846.9</v>
      </c>
      <c r="O64" s="146">
        <f t="shared" si="10"/>
        <v>0</v>
      </c>
      <c r="P64" s="146">
        <f t="shared" si="10"/>
        <v>418.3613846153847</v>
      </c>
      <c r="Q64" s="146">
        <f t="shared" si="10"/>
        <v>0</v>
      </c>
      <c r="R64" s="146">
        <f t="shared" si="10"/>
        <v>0</v>
      </c>
      <c r="S64" s="147">
        <f t="shared" si="10"/>
        <v>10428.538615384616</v>
      </c>
      <c r="T64" s="146"/>
      <c r="V64" s="146">
        <f t="shared" ref="V64:W64" si="11">SUBTOTAL(9,V6:V50)</f>
        <v>4100</v>
      </c>
      <c r="W64" s="146">
        <f t="shared" si="11"/>
        <v>-2770</v>
      </c>
    </row>
    <row r="69" spans="14:14" x14ac:dyDescent="0.25">
      <c r="N69" s="148"/>
    </row>
  </sheetData>
  <autoFilter ref="A5:W64"/>
  <mergeCells count="18">
    <mergeCell ref="A1:W1"/>
    <mergeCell ref="A2:W2"/>
    <mergeCell ref="A3:W3"/>
    <mergeCell ref="I4:N4"/>
    <mergeCell ref="O4:R4"/>
    <mergeCell ref="A4:A5"/>
    <mergeCell ref="B4:B5"/>
    <mergeCell ref="C4:C5"/>
    <mergeCell ref="D4:D5"/>
    <mergeCell ref="E4:E5"/>
    <mergeCell ref="F4:F5"/>
    <mergeCell ref="G4:G5"/>
    <mergeCell ref="H4:H5"/>
    <mergeCell ref="S4:S5"/>
    <mergeCell ref="T4:T5"/>
    <mergeCell ref="V4:V5"/>
    <mergeCell ref="W4:W5"/>
    <mergeCell ref="A64:H64"/>
  </mergeCells>
  <conditionalFormatting sqref="C6:C63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workbookViewId="0" zoomScale="60" zoomScaleNormal="60">
      <pane ySplit="5" topLeftCell="A20" activePane="bottomLeft" state="frozen"/>
      <selection pane="bottomLeft" activeCell="I9" sqref="I9"/>
    </sheetView>
  </sheetViews>
  <sheetFormatPr defaultRowHeight="14.6" outlineLevelRow="0" outlineLevelCol="0" x14ac:dyDescent="0.4" customHeight="1"/>
  <cols>
    <col min="3" max="3" width="34.69140625" style="112" customWidth="1"/>
    <col min="4" max="4" width="15.3828125" customWidth="1"/>
    <col min="5" max="5" width="16" customWidth="1"/>
    <col min="6" max="6" width="12.15234375" customWidth="1"/>
    <col min="7" max="7" width="12" customWidth="1"/>
    <col min="8" max="8" width="10.84375" customWidth="1"/>
    <col min="9" max="9" width="16.15234375" customWidth="1"/>
    <col min="10" max="10" width="17.15234375" customWidth="1"/>
    <col min="11" max="11" width="11" customWidth="1"/>
    <col min="12" max="12" width="14" customWidth="1"/>
    <col min="13" max="13" width="11.3046875" customWidth="1"/>
    <col min="14" max="14" width="15.15234375" customWidth="1"/>
    <col min="15" max="15" width="11.53515625" customWidth="1"/>
    <col min="16" max="16" width="14.3828125" customWidth="1"/>
    <col min="17" max="17" width="10.15234375" customWidth="1"/>
    <col min="18" max="18" width="10.53515625" customWidth="1"/>
    <col min="19" max="19" width="21.15234375" customWidth="1"/>
    <col min="20" max="20" width="22.53515625" customWidth="1"/>
    <col min="21" max="21" width="4.15234375" customWidth="1"/>
    <col min="22" max="22" width="18.3046875" customWidth="1"/>
    <col min="23" max="23" width="17" customWidth="1"/>
  </cols>
  <sheetData>
    <row r="1" ht="51.65" customHeight="1" spans="1:20" x14ac:dyDescent="0.25">
      <c r="A1" s="264" t="s">
        <v>27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</row>
    <row r="2" ht="53.15" customHeight="1" spans="1:20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</row>
    <row r="3" ht="45.65" customHeight="1" spans="1:20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20"/>
    </row>
    <row r="4" ht="30" customHeight="1" spans="1:23" s="115" customFormat="1" x14ac:dyDescent="0.25">
      <c r="A4" s="267" t="s">
        <v>3</v>
      </c>
      <c r="B4" s="120" t="s">
        <v>4</v>
      </c>
      <c r="C4" s="120" t="s">
        <v>5</v>
      </c>
      <c r="D4" s="248" t="s">
        <v>6</v>
      </c>
      <c r="E4" s="120" t="s">
        <v>8</v>
      </c>
      <c r="F4" s="120" t="s">
        <v>9</v>
      </c>
      <c r="G4" s="120" t="s">
        <v>10</v>
      </c>
      <c r="H4" s="120" t="s">
        <v>11</v>
      </c>
      <c r="I4" s="268" t="s">
        <v>12</v>
      </c>
      <c r="J4" s="268"/>
      <c r="K4" s="268"/>
      <c r="L4" s="268"/>
      <c r="M4" s="268"/>
      <c r="N4" s="268"/>
      <c r="O4" s="268" t="s">
        <v>13</v>
      </c>
      <c r="P4" s="268"/>
      <c r="Q4" s="268"/>
      <c r="R4" s="268"/>
      <c r="S4" s="120" t="s">
        <v>14</v>
      </c>
      <c r="T4" s="120" t="s">
        <v>15</v>
      </c>
      <c r="V4" s="120" t="s">
        <v>352</v>
      </c>
      <c r="W4" s="120" t="s">
        <v>353</v>
      </c>
    </row>
    <row r="5" ht="88.5" customHeight="1" spans="1:23" s="115" customFormat="1" x14ac:dyDescent="0.25">
      <c r="A5" s="116"/>
      <c r="B5" s="117"/>
      <c r="C5" s="117"/>
      <c r="D5" s="118"/>
      <c r="E5" s="116"/>
      <c r="F5" s="117"/>
      <c r="G5" s="117"/>
      <c r="H5" s="117"/>
      <c r="I5" s="120" t="s">
        <v>16</v>
      </c>
      <c r="J5" s="120" t="s">
        <v>17</v>
      </c>
      <c r="K5" s="120" t="s">
        <v>18</v>
      </c>
      <c r="L5" s="120" t="s">
        <v>31</v>
      </c>
      <c r="M5" s="120" t="s">
        <v>21</v>
      </c>
      <c r="N5" s="120" t="s">
        <v>22</v>
      </c>
      <c r="O5" s="120" t="s">
        <v>23</v>
      </c>
      <c r="P5" s="120" t="s">
        <v>24</v>
      </c>
      <c r="Q5" s="120" t="s">
        <v>25</v>
      </c>
      <c r="R5" s="120" t="s">
        <v>21</v>
      </c>
      <c r="S5" s="117"/>
      <c r="T5" s="117"/>
      <c r="V5" s="117"/>
      <c r="W5" s="117"/>
    </row>
    <row r="6" ht="45.65" customHeight="1" spans="1:23" x14ac:dyDescent="0.25">
      <c r="A6" s="121">
        <v>1</v>
      </c>
      <c r="B6" s="122">
        <v>1001</v>
      </c>
      <c r="C6" s="155" t="s">
        <v>32</v>
      </c>
      <c r="D6" s="154"/>
      <c r="E6" s="155"/>
      <c r="F6" s="157">
        <v>575</v>
      </c>
      <c r="G6" s="125">
        <v>26</v>
      </c>
      <c r="H6" s="125">
        <v>0</v>
      </c>
      <c r="I6" s="126">
        <f t="shared" ref="I6:I65" si="0">F6/26*G6</f>
        <v>575</v>
      </c>
      <c r="J6" s="126">
        <v>0</v>
      </c>
      <c r="K6" s="126">
        <v>0</v>
      </c>
      <c r="L6" s="126">
        <v>0</v>
      </c>
      <c r="M6" s="126">
        <v>0</v>
      </c>
      <c r="N6" s="126">
        <f>I6+J6+K6+L6+M6</f>
        <v>575</v>
      </c>
      <c r="O6" s="126">
        <v>0</v>
      </c>
      <c r="P6" s="126">
        <v>0</v>
      </c>
      <c r="Q6" s="126">
        <v>0</v>
      </c>
      <c r="R6" s="126">
        <v>0</v>
      </c>
      <c r="S6" s="127">
        <f>N6-O6-P6-Q6-R6</f>
        <v>575</v>
      </c>
      <c r="T6" s="128"/>
      <c r="V6" s="128"/>
      <c r="W6" s="128"/>
    </row>
    <row r="7" ht="45.65" customHeight="1" spans="1:23" x14ac:dyDescent="0.25">
      <c r="A7" s="121">
        <v>2</v>
      </c>
      <c r="B7" s="122">
        <v>1002</v>
      </c>
      <c r="C7" s="155" t="s">
        <v>34</v>
      </c>
      <c r="D7" s="154"/>
      <c r="E7" s="155"/>
      <c r="F7" s="157">
        <v>100</v>
      </c>
      <c r="G7" s="125">
        <v>26</v>
      </c>
      <c r="H7" s="125">
        <v>0</v>
      </c>
      <c r="I7" s="126">
        <f t="shared" si="0"/>
        <v>100</v>
      </c>
      <c r="J7" s="126">
        <v>0</v>
      </c>
      <c r="K7" s="126">
        <v>0</v>
      </c>
      <c r="L7" s="126">
        <v>0</v>
      </c>
      <c r="M7" s="126">
        <v>0</v>
      </c>
      <c r="N7" s="126">
        <f t="shared" ref="N7:N65" si="1">I7+J7+K7+L7+M7</f>
        <v>100</v>
      </c>
      <c r="O7" s="126">
        <v>0</v>
      </c>
      <c r="P7" s="126">
        <v>0</v>
      </c>
      <c r="Q7" s="126">
        <v>0</v>
      </c>
      <c r="R7" s="126">
        <v>0</v>
      </c>
      <c r="S7" s="127">
        <f>N7-O7-P7-Q7-R7</f>
        <v>100</v>
      </c>
      <c r="T7" s="128"/>
      <c r="V7" s="128"/>
      <c r="W7" s="128"/>
    </row>
    <row r="8" ht="45.65" customHeight="1" spans="1:23" x14ac:dyDescent="0.25">
      <c r="A8" s="121">
        <v>3</v>
      </c>
      <c r="B8" s="129">
        <v>1003</v>
      </c>
      <c r="C8" s="269" t="s">
        <v>36</v>
      </c>
      <c r="D8" s="154"/>
      <c r="E8" s="269"/>
      <c r="F8" s="270">
        <v>170</v>
      </c>
      <c r="G8" s="125">
        <v>26</v>
      </c>
      <c r="H8" s="125">
        <v>0</v>
      </c>
      <c r="I8" s="126">
        <f t="shared" si="0"/>
        <v>170</v>
      </c>
      <c r="J8" s="126">
        <v>0</v>
      </c>
      <c r="K8" s="126">
        <v>0</v>
      </c>
      <c r="L8" s="126">
        <v>0</v>
      </c>
      <c r="M8" s="126">
        <v>0</v>
      </c>
      <c r="N8" s="126">
        <f t="shared" si="1"/>
        <v>170</v>
      </c>
      <c r="O8" s="126">
        <v>0</v>
      </c>
      <c r="P8" s="126">
        <v>0</v>
      </c>
      <c r="Q8" s="126">
        <v>0</v>
      </c>
      <c r="R8" s="126">
        <v>0</v>
      </c>
      <c r="S8" s="127">
        <f t="shared" ref="S8:S65" si="2">N8-O8-P8-Q8-R8</f>
        <v>170</v>
      </c>
      <c r="T8" s="131"/>
      <c r="V8" s="131"/>
      <c r="W8" s="131"/>
    </row>
    <row r="9" ht="45.65" customHeight="1" spans="1:23" x14ac:dyDescent="0.25">
      <c r="A9" s="121">
        <v>4</v>
      </c>
      <c r="B9" s="122">
        <v>1004</v>
      </c>
      <c r="C9" s="155" t="s">
        <v>38</v>
      </c>
      <c r="D9" s="154"/>
      <c r="E9" s="155"/>
      <c r="F9" s="157">
        <v>500</v>
      </c>
      <c r="G9" s="125">
        <v>26</v>
      </c>
      <c r="H9" s="125">
        <v>0</v>
      </c>
      <c r="I9" s="126">
        <f t="shared" si="0"/>
        <v>500</v>
      </c>
      <c r="J9" s="126">
        <v>0</v>
      </c>
      <c r="K9" s="126">
        <v>0</v>
      </c>
      <c r="L9" s="126">
        <v>0</v>
      </c>
      <c r="M9" s="126">
        <v>0</v>
      </c>
      <c r="N9" s="126">
        <f t="shared" si="1"/>
        <v>500</v>
      </c>
      <c r="O9" s="126">
        <v>0</v>
      </c>
      <c r="P9" s="126">
        <v>0</v>
      </c>
      <c r="Q9" s="126">
        <v>0</v>
      </c>
      <c r="R9" s="126">
        <v>0</v>
      </c>
      <c r="S9" s="127">
        <f t="shared" si="2"/>
        <v>500</v>
      </c>
      <c r="T9" s="132"/>
      <c r="V9" s="132"/>
      <c r="W9" s="132"/>
    </row>
    <row r="10" ht="45.65" customHeight="1" spans="1:23" x14ac:dyDescent="0.25">
      <c r="A10" s="121">
        <v>5</v>
      </c>
      <c r="B10" s="129">
        <v>1005</v>
      </c>
      <c r="C10" s="155" t="s">
        <v>40</v>
      </c>
      <c r="D10" s="154"/>
      <c r="E10" s="155"/>
      <c r="F10" s="157">
        <v>200</v>
      </c>
      <c r="G10" s="125">
        <v>26</v>
      </c>
      <c r="H10" s="125">
        <v>0</v>
      </c>
      <c r="I10" s="126">
        <f t="shared" si="0"/>
        <v>200</v>
      </c>
      <c r="J10" s="126">
        <v>0</v>
      </c>
      <c r="K10" s="126">
        <v>0</v>
      </c>
      <c r="L10" s="126">
        <v>0</v>
      </c>
      <c r="M10" s="126">
        <v>0</v>
      </c>
      <c r="N10" s="126">
        <f t="shared" si="1"/>
        <v>200</v>
      </c>
      <c r="O10" s="126">
        <v>0</v>
      </c>
      <c r="P10" s="126">
        <v>0</v>
      </c>
      <c r="Q10" s="126">
        <v>0</v>
      </c>
      <c r="R10" s="126">
        <v>0</v>
      </c>
      <c r="S10" s="127">
        <f t="shared" si="2"/>
        <v>200</v>
      </c>
      <c r="T10" s="132"/>
      <c r="V10" s="132"/>
      <c r="W10" s="132"/>
    </row>
    <row r="11" ht="45.65" customHeight="1" spans="1:23" x14ac:dyDescent="0.25">
      <c r="A11" s="121">
        <v>6</v>
      </c>
      <c r="B11" s="122">
        <v>1006</v>
      </c>
      <c r="C11" s="155" t="s">
        <v>41</v>
      </c>
      <c r="D11" s="154"/>
      <c r="E11" s="155"/>
      <c r="F11" s="157">
        <v>75</v>
      </c>
      <c r="G11" s="125">
        <v>26</v>
      </c>
      <c r="H11" s="125">
        <v>0</v>
      </c>
      <c r="I11" s="126">
        <f t="shared" si="0"/>
        <v>75</v>
      </c>
      <c r="J11" s="126">
        <v>0</v>
      </c>
      <c r="K11" s="126">
        <v>0</v>
      </c>
      <c r="L11" s="126">
        <v>0</v>
      </c>
      <c r="M11" s="126">
        <v>0</v>
      </c>
      <c r="N11" s="126">
        <f t="shared" si="1"/>
        <v>75</v>
      </c>
      <c r="O11" s="126">
        <v>0</v>
      </c>
      <c r="P11" s="126">
        <v>0</v>
      </c>
      <c r="Q11" s="126">
        <v>0</v>
      </c>
      <c r="R11" s="126">
        <v>0</v>
      </c>
      <c r="S11" s="127">
        <f t="shared" si="2"/>
        <v>75</v>
      </c>
      <c r="T11" s="132"/>
      <c r="V11" s="132"/>
      <c r="W11" s="132"/>
    </row>
    <row r="12" ht="45.65" customHeight="1" spans="1:23" x14ac:dyDescent="0.25">
      <c r="A12" s="121">
        <v>7</v>
      </c>
      <c r="B12" s="129">
        <v>1007</v>
      </c>
      <c r="C12" s="155" t="s">
        <v>42</v>
      </c>
      <c r="D12" s="154"/>
      <c r="E12" s="155"/>
      <c r="F12" s="157">
        <v>350</v>
      </c>
      <c r="G12" s="125">
        <v>26</v>
      </c>
      <c r="H12" s="125">
        <v>0</v>
      </c>
      <c r="I12" s="126">
        <f t="shared" si="0"/>
        <v>350</v>
      </c>
      <c r="J12" s="126">
        <v>0</v>
      </c>
      <c r="K12" s="126">
        <v>0</v>
      </c>
      <c r="L12" s="126">
        <v>0</v>
      </c>
      <c r="M12" s="126">
        <v>0</v>
      </c>
      <c r="N12" s="126">
        <f t="shared" si="1"/>
        <v>350</v>
      </c>
      <c r="O12" s="126">
        <v>0</v>
      </c>
      <c r="P12" s="126">
        <v>0</v>
      </c>
      <c r="Q12" s="126">
        <v>0</v>
      </c>
      <c r="R12" s="126">
        <v>0</v>
      </c>
      <c r="S12" s="127">
        <f t="shared" si="2"/>
        <v>350</v>
      </c>
      <c r="T12" s="132"/>
      <c r="V12" s="132"/>
      <c r="W12" s="132"/>
    </row>
    <row r="13" ht="45.65" customHeight="1" spans="1:23" x14ac:dyDescent="0.25">
      <c r="A13" s="121">
        <v>8</v>
      </c>
      <c r="B13" s="122">
        <v>1008</v>
      </c>
      <c r="C13" s="155" t="s">
        <v>44</v>
      </c>
      <c r="D13" s="154"/>
      <c r="E13" s="155"/>
      <c r="F13" s="157">
        <v>456.9</v>
      </c>
      <c r="G13" s="125">
        <v>26</v>
      </c>
      <c r="H13" s="125">
        <v>0</v>
      </c>
      <c r="I13" s="126">
        <f t="shared" si="0"/>
        <v>456.9</v>
      </c>
      <c r="J13" s="126">
        <v>0</v>
      </c>
      <c r="K13" s="126">
        <v>0</v>
      </c>
      <c r="L13" s="126">
        <v>0</v>
      </c>
      <c r="M13" s="126">
        <v>0</v>
      </c>
      <c r="N13" s="126">
        <f t="shared" si="1"/>
        <v>456.9</v>
      </c>
      <c r="O13" s="126">
        <v>0</v>
      </c>
      <c r="P13" s="126">
        <v>0</v>
      </c>
      <c r="Q13" s="126">
        <v>0</v>
      </c>
      <c r="R13" s="126">
        <v>0</v>
      </c>
      <c r="S13" s="127">
        <f t="shared" si="2"/>
        <v>456.9</v>
      </c>
      <c r="T13" s="132"/>
      <c r="V13" s="132"/>
      <c r="W13" s="132"/>
    </row>
    <row r="14" ht="45.65" customHeight="1" spans="1:23" x14ac:dyDescent="0.25">
      <c r="A14" s="121">
        <v>9</v>
      </c>
      <c r="B14" s="129">
        <v>1009</v>
      </c>
      <c r="C14" s="155" t="s">
        <v>46</v>
      </c>
      <c r="D14" s="154"/>
      <c r="E14" s="155"/>
      <c r="F14" s="157">
        <v>560</v>
      </c>
      <c r="G14" s="125">
        <v>26</v>
      </c>
      <c r="H14" s="125">
        <v>0</v>
      </c>
      <c r="I14" s="126">
        <f t="shared" si="0"/>
        <v>560</v>
      </c>
      <c r="J14" s="126">
        <v>0</v>
      </c>
      <c r="K14" s="126">
        <v>0</v>
      </c>
      <c r="L14" s="126">
        <v>0</v>
      </c>
      <c r="M14" s="126">
        <v>0</v>
      </c>
      <c r="N14" s="126">
        <f t="shared" si="1"/>
        <v>560</v>
      </c>
      <c r="O14" s="126">
        <v>0</v>
      </c>
      <c r="P14" s="126">
        <v>0</v>
      </c>
      <c r="Q14" s="126">
        <v>0</v>
      </c>
      <c r="R14" s="126">
        <v>0</v>
      </c>
      <c r="S14" s="127">
        <f t="shared" si="2"/>
        <v>560</v>
      </c>
      <c r="T14" s="132"/>
      <c r="V14" s="132"/>
      <c r="W14" s="132"/>
    </row>
    <row r="15" ht="45.65" customHeight="1" spans="1:23" x14ac:dyDescent="0.25">
      <c r="A15" s="121">
        <v>10</v>
      </c>
      <c r="B15" s="122">
        <v>1010</v>
      </c>
      <c r="C15" s="155" t="s">
        <v>48</v>
      </c>
      <c r="D15" s="154"/>
      <c r="E15" s="155"/>
      <c r="F15" s="157">
        <v>300</v>
      </c>
      <c r="G15" s="125">
        <v>26</v>
      </c>
      <c r="H15" s="125">
        <v>0</v>
      </c>
      <c r="I15" s="126">
        <f t="shared" si="0"/>
        <v>300</v>
      </c>
      <c r="J15" s="126">
        <v>0</v>
      </c>
      <c r="K15" s="126">
        <v>0</v>
      </c>
      <c r="L15" s="126">
        <v>0</v>
      </c>
      <c r="M15" s="126">
        <v>0</v>
      </c>
      <c r="N15" s="126">
        <f t="shared" si="1"/>
        <v>300</v>
      </c>
      <c r="O15" s="126">
        <v>0</v>
      </c>
      <c r="P15" s="126">
        <v>0</v>
      </c>
      <c r="Q15" s="126">
        <v>0</v>
      </c>
      <c r="R15" s="126">
        <v>0</v>
      </c>
      <c r="S15" s="127">
        <f t="shared" si="2"/>
        <v>300</v>
      </c>
      <c r="T15" s="132"/>
      <c r="V15" s="132"/>
      <c r="W15" s="132"/>
    </row>
    <row r="16" ht="45.65" customHeight="1" spans="1:23" x14ac:dyDescent="0.25">
      <c r="A16" s="121">
        <v>11</v>
      </c>
      <c r="B16" s="129">
        <v>1011</v>
      </c>
      <c r="C16" s="155" t="s">
        <v>49</v>
      </c>
      <c r="D16" s="154"/>
      <c r="E16" s="155"/>
      <c r="F16" s="157">
        <v>250</v>
      </c>
      <c r="G16" s="125">
        <v>26</v>
      </c>
      <c r="H16" s="125">
        <v>0</v>
      </c>
      <c r="I16" s="126">
        <f t="shared" si="0"/>
        <v>250</v>
      </c>
      <c r="J16" s="126">
        <v>0</v>
      </c>
      <c r="K16" s="126">
        <v>0</v>
      </c>
      <c r="L16" s="126">
        <v>0</v>
      </c>
      <c r="M16" s="126">
        <v>0</v>
      </c>
      <c r="N16" s="126">
        <f t="shared" si="1"/>
        <v>250</v>
      </c>
      <c r="O16" s="126">
        <v>0</v>
      </c>
      <c r="P16" s="126">
        <v>0</v>
      </c>
      <c r="Q16" s="126">
        <v>0</v>
      </c>
      <c r="R16" s="126">
        <v>0</v>
      </c>
      <c r="S16" s="127">
        <f t="shared" si="2"/>
        <v>250</v>
      </c>
      <c r="T16" s="132"/>
      <c r="V16" s="132"/>
      <c r="W16" s="132"/>
    </row>
    <row r="17" ht="45.65" customHeight="1" spans="1:23" x14ac:dyDescent="0.25">
      <c r="A17" s="121">
        <v>12</v>
      </c>
      <c r="B17" s="122">
        <v>1012</v>
      </c>
      <c r="C17" s="155" t="s">
        <v>51</v>
      </c>
      <c r="D17" s="154"/>
      <c r="E17" s="155"/>
      <c r="F17" s="157">
        <v>250</v>
      </c>
      <c r="G17" s="125">
        <v>26</v>
      </c>
      <c r="H17" s="125">
        <v>0</v>
      </c>
      <c r="I17" s="126">
        <f t="shared" si="0"/>
        <v>250</v>
      </c>
      <c r="J17" s="126">
        <v>0</v>
      </c>
      <c r="K17" s="126">
        <v>0</v>
      </c>
      <c r="L17" s="126">
        <v>0</v>
      </c>
      <c r="M17" s="126">
        <v>0</v>
      </c>
      <c r="N17" s="126">
        <f t="shared" si="1"/>
        <v>250</v>
      </c>
      <c r="O17" s="126">
        <v>0</v>
      </c>
      <c r="P17" s="126">
        <v>0</v>
      </c>
      <c r="Q17" s="126">
        <v>0</v>
      </c>
      <c r="R17" s="126">
        <v>0</v>
      </c>
      <c r="S17" s="127">
        <f t="shared" si="2"/>
        <v>250</v>
      </c>
      <c r="T17" s="132"/>
      <c r="V17" s="132"/>
      <c r="W17" s="132"/>
    </row>
    <row r="18" ht="45.65" customHeight="1" spans="1:23" x14ac:dyDescent="0.25">
      <c r="A18" s="121">
        <v>13</v>
      </c>
      <c r="B18" s="129">
        <v>1013</v>
      </c>
      <c r="C18" s="155" t="s">
        <v>52</v>
      </c>
      <c r="D18" s="154"/>
      <c r="E18" s="155"/>
      <c r="F18" s="157">
        <v>250</v>
      </c>
      <c r="G18" s="125">
        <v>26</v>
      </c>
      <c r="H18" s="125">
        <v>0</v>
      </c>
      <c r="I18" s="126">
        <f t="shared" si="0"/>
        <v>250</v>
      </c>
      <c r="J18" s="126">
        <v>0</v>
      </c>
      <c r="K18" s="126">
        <v>0</v>
      </c>
      <c r="L18" s="126">
        <v>0</v>
      </c>
      <c r="M18" s="126">
        <v>0</v>
      </c>
      <c r="N18" s="126">
        <f t="shared" si="1"/>
        <v>250</v>
      </c>
      <c r="O18" s="126">
        <v>0</v>
      </c>
      <c r="P18" s="126">
        <v>0</v>
      </c>
      <c r="Q18" s="126">
        <v>0</v>
      </c>
      <c r="R18" s="126">
        <v>0</v>
      </c>
      <c r="S18" s="127">
        <f t="shared" si="2"/>
        <v>250</v>
      </c>
      <c r="T18" s="132"/>
      <c r="V18" s="132"/>
      <c r="W18" s="132"/>
    </row>
    <row r="19" ht="45.65" customHeight="1" spans="1:23" x14ac:dyDescent="0.25">
      <c r="A19" s="121">
        <v>14</v>
      </c>
      <c r="B19" s="122">
        <v>1014</v>
      </c>
      <c r="C19" s="155" t="s">
        <v>53</v>
      </c>
      <c r="D19" s="154"/>
      <c r="E19" s="155"/>
      <c r="F19" s="157">
        <v>370</v>
      </c>
      <c r="G19" s="125">
        <v>26</v>
      </c>
      <c r="H19" s="125">
        <v>0</v>
      </c>
      <c r="I19" s="126">
        <f t="shared" si="0"/>
        <v>370</v>
      </c>
      <c r="J19" s="126">
        <v>0</v>
      </c>
      <c r="K19" s="126">
        <v>0</v>
      </c>
      <c r="L19" s="126">
        <v>0</v>
      </c>
      <c r="M19" s="126">
        <v>0</v>
      </c>
      <c r="N19" s="126">
        <f t="shared" si="1"/>
        <v>370</v>
      </c>
      <c r="O19" s="126">
        <v>0</v>
      </c>
      <c r="P19" s="126">
        <v>0</v>
      </c>
      <c r="Q19" s="126">
        <v>0</v>
      </c>
      <c r="R19" s="126">
        <v>0</v>
      </c>
      <c r="S19" s="127">
        <f t="shared" si="2"/>
        <v>370</v>
      </c>
      <c r="T19" s="132"/>
      <c r="V19" s="132"/>
      <c r="W19" s="132"/>
    </row>
    <row r="20" ht="45.65" customHeight="1" spans="1:23" x14ac:dyDescent="0.25">
      <c r="A20" s="121">
        <v>15</v>
      </c>
      <c r="B20" s="129">
        <v>1015</v>
      </c>
      <c r="C20" s="155" t="s">
        <v>55</v>
      </c>
      <c r="D20" s="154"/>
      <c r="E20" s="155"/>
      <c r="F20" s="157">
        <v>600</v>
      </c>
      <c r="G20" s="125">
        <v>26</v>
      </c>
      <c r="H20" s="125">
        <v>0</v>
      </c>
      <c r="I20" s="126">
        <f t="shared" si="0"/>
        <v>600</v>
      </c>
      <c r="J20" s="126">
        <v>0</v>
      </c>
      <c r="K20" s="126">
        <v>0</v>
      </c>
      <c r="L20" s="126">
        <v>0</v>
      </c>
      <c r="M20" s="126">
        <v>0</v>
      </c>
      <c r="N20" s="126">
        <f t="shared" si="1"/>
        <v>600</v>
      </c>
      <c r="O20" s="126">
        <v>0</v>
      </c>
      <c r="P20" s="126">
        <v>0</v>
      </c>
      <c r="Q20" s="126">
        <v>0</v>
      </c>
      <c r="R20" s="126">
        <v>0</v>
      </c>
      <c r="S20" s="127">
        <f t="shared" si="2"/>
        <v>600</v>
      </c>
      <c r="T20" s="132"/>
      <c r="V20" s="133">
        <v>430</v>
      </c>
      <c r="W20" s="134">
        <f>S20-V20</f>
        <v>170</v>
      </c>
    </row>
    <row r="21" ht="45.65" customHeight="1" spans="1:23" x14ac:dyDescent="0.25">
      <c r="A21" s="121">
        <v>16</v>
      </c>
      <c r="B21" s="122">
        <v>1016</v>
      </c>
      <c r="C21" s="155" t="s">
        <v>58</v>
      </c>
      <c r="D21" s="154"/>
      <c r="E21" s="155"/>
      <c r="F21" s="157">
        <v>150</v>
      </c>
      <c r="G21" s="125">
        <v>26</v>
      </c>
      <c r="H21" s="125">
        <v>0</v>
      </c>
      <c r="I21" s="126">
        <f t="shared" si="0"/>
        <v>150</v>
      </c>
      <c r="J21" s="126">
        <v>0</v>
      </c>
      <c r="K21" s="126">
        <v>0</v>
      </c>
      <c r="L21" s="126">
        <v>0</v>
      </c>
      <c r="M21" s="126">
        <v>0</v>
      </c>
      <c r="N21" s="126">
        <f t="shared" si="1"/>
        <v>150</v>
      </c>
      <c r="O21" s="126">
        <v>0</v>
      </c>
      <c r="P21" s="126">
        <v>0</v>
      </c>
      <c r="Q21" s="126">
        <v>0</v>
      </c>
      <c r="R21" s="126">
        <v>0</v>
      </c>
      <c r="S21" s="127">
        <f t="shared" si="2"/>
        <v>150</v>
      </c>
      <c r="T21" s="132"/>
      <c r="V21" s="132"/>
      <c r="W21" s="132"/>
    </row>
    <row r="22" ht="45.65" customHeight="1" spans="1:23" x14ac:dyDescent="0.25">
      <c r="A22" s="121">
        <v>17</v>
      </c>
      <c r="B22" s="129">
        <v>1017</v>
      </c>
      <c r="C22" s="155" t="s">
        <v>60</v>
      </c>
      <c r="D22" s="154"/>
      <c r="E22" s="155"/>
      <c r="F22" s="157">
        <v>170</v>
      </c>
      <c r="G22" s="125">
        <v>26</v>
      </c>
      <c r="H22" s="125">
        <v>0</v>
      </c>
      <c r="I22" s="126">
        <f t="shared" si="0"/>
        <v>170</v>
      </c>
      <c r="J22" s="126">
        <v>0</v>
      </c>
      <c r="K22" s="126">
        <v>0</v>
      </c>
      <c r="L22" s="126">
        <v>0</v>
      </c>
      <c r="M22" s="126">
        <v>0</v>
      </c>
      <c r="N22" s="126">
        <f t="shared" si="1"/>
        <v>170</v>
      </c>
      <c r="O22" s="126">
        <v>0</v>
      </c>
      <c r="P22" s="126">
        <v>0</v>
      </c>
      <c r="Q22" s="126">
        <v>0</v>
      </c>
      <c r="R22" s="126">
        <v>0</v>
      </c>
      <c r="S22" s="127">
        <f t="shared" si="2"/>
        <v>170</v>
      </c>
      <c r="T22" s="132"/>
      <c r="V22" s="132"/>
      <c r="W22" s="132"/>
    </row>
    <row r="23" ht="45.65" customHeight="1" spans="1:23" x14ac:dyDescent="0.25">
      <c r="A23" s="121">
        <v>18</v>
      </c>
      <c r="B23" s="122">
        <v>1018</v>
      </c>
      <c r="C23" s="155" t="s">
        <v>62</v>
      </c>
      <c r="D23" s="154"/>
      <c r="E23" s="155"/>
      <c r="F23" s="157">
        <v>250</v>
      </c>
      <c r="G23" s="125">
        <v>26</v>
      </c>
      <c r="H23" s="125">
        <v>0</v>
      </c>
      <c r="I23" s="126">
        <f t="shared" si="0"/>
        <v>250</v>
      </c>
      <c r="J23" s="126">
        <v>0</v>
      </c>
      <c r="K23" s="126">
        <v>0</v>
      </c>
      <c r="L23" s="126">
        <v>0</v>
      </c>
      <c r="M23" s="126">
        <v>0</v>
      </c>
      <c r="N23" s="126">
        <f t="shared" si="1"/>
        <v>250</v>
      </c>
      <c r="O23" s="126">
        <v>0</v>
      </c>
      <c r="P23" s="126">
        <v>0</v>
      </c>
      <c r="Q23" s="126">
        <v>0</v>
      </c>
      <c r="R23" s="126">
        <v>0</v>
      </c>
      <c r="S23" s="127">
        <f t="shared" si="2"/>
        <v>250</v>
      </c>
      <c r="T23" s="132"/>
      <c r="V23" s="132"/>
      <c r="W23" s="132"/>
    </row>
    <row r="24" ht="45.65" customHeight="1" spans="1:23" x14ac:dyDescent="0.25">
      <c r="A24" s="121">
        <v>19</v>
      </c>
      <c r="B24" s="129">
        <v>1019</v>
      </c>
      <c r="C24" s="155" t="s">
        <v>63</v>
      </c>
      <c r="D24" s="154"/>
      <c r="E24" s="155"/>
      <c r="F24" s="157">
        <v>250</v>
      </c>
      <c r="G24" s="125">
        <v>26</v>
      </c>
      <c r="H24" s="125">
        <v>0</v>
      </c>
      <c r="I24" s="126">
        <f t="shared" si="0"/>
        <v>250</v>
      </c>
      <c r="J24" s="126">
        <v>0</v>
      </c>
      <c r="K24" s="126">
        <v>0</v>
      </c>
      <c r="L24" s="126">
        <v>0</v>
      </c>
      <c r="M24" s="126">
        <v>0</v>
      </c>
      <c r="N24" s="126">
        <f t="shared" si="1"/>
        <v>250</v>
      </c>
      <c r="O24" s="126">
        <v>0</v>
      </c>
      <c r="P24" s="126">
        <v>0</v>
      </c>
      <c r="Q24" s="126">
        <v>0</v>
      </c>
      <c r="R24" s="126">
        <v>0</v>
      </c>
      <c r="S24" s="127">
        <f t="shared" si="2"/>
        <v>250</v>
      </c>
      <c r="T24" s="132"/>
      <c r="V24" s="132"/>
      <c r="W24" s="132"/>
    </row>
    <row r="25" ht="45.65" customHeight="1" spans="1:23" x14ac:dyDescent="0.25">
      <c r="A25" s="121">
        <v>20</v>
      </c>
      <c r="B25" s="122">
        <v>1020</v>
      </c>
      <c r="C25" s="155" t="s">
        <v>64</v>
      </c>
      <c r="D25" s="154"/>
      <c r="E25" s="155"/>
      <c r="F25" s="157">
        <v>450</v>
      </c>
      <c r="G25" s="125">
        <v>26</v>
      </c>
      <c r="H25" s="125">
        <v>0</v>
      </c>
      <c r="I25" s="126">
        <f t="shared" si="0"/>
        <v>450</v>
      </c>
      <c r="J25" s="126">
        <v>0</v>
      </c>
      <c r="K25" s="126">
        <v>0</v>
      </c>
      <c r="L25" s="126">
        <v>0</v>
      </c>
      <c r="M25" s="126">
        <v>0</v>
      </c>
      <c r="N25" s="126">
        <f t="shared" si="1"/>
        <v>450</v>
      </c>
      <c r="O25" s="126">
        <v>0</v>
      </c>
      <c r="P25" s="126">
        <v>0</v>
      </c>
      <c r="Q25" s="126">
        <v>0</v>
      </c>
      <c r="R25" s="126">
        <v>0</v>
      </c>
      <c r="S25" s="127">
        <f t="shared" si="2"/>
        <v>450</v>
      </c>
      <c r="T25" s="132"/>
      <c r="V25" s="132"/>
      <c r="W25" s="132"/>
    </row>
    <row r="26" ht="45.65" customHeight="1" spans="1:23" x14ac:dyDescent="0.25">
      <c r="A26" s="121">
        <v>21</v>
      </c>
      <c r="B26" s="129">
        <v>1021</v>
      </c>
      <c r="C26" s="155" t="s">
        <v>66</v>
      </c>
      <c r="D26" s="154"/>
      <c r="E26" s="155"/>
      <c r="F26" s="157">
        <v>150</v>
      </c>
      <c r="G26" s="125">
        <v>26</v>
      </c>
      <c r="H26" s="125">
        <v>0</v>
      </c>
      <c r="I26" s="126">
        <f t="shared" si="0"/>
        <v>150</v>
      </c>
      <c r="J26" s="126">
        <v>0</v>
      </c>
      <c r="K26" s="126">
        <v>0</v>
      </c>
      <c r="L26" s="126">
        <v>0</v>
      </c>
      <c r="M26" s="126">
        <v>0</v>
      </c>
      <c r="N26" s="126">
        <f t="shared" si="1"/>
        <v>150</v>
      </c>
      <c r="O26" s="126">
        <v>0</v>
      </c>
      <c r="P26" s="126">
        <v>0</v>
      </c>
      <c r="Q26" s="126">
        <v>0</v>
      </c>
      <c r="R26" s="126">
        <v>0</v>
      </c>
      <c r="S26" s="127">
        <f t="shared" si="2"/>
        <v>150</v>
      </c>
      <c r="T26" s="132"/>
      <c r="V26" s="132"/>
      <c r="W26" s="132"/>
    </row>
    <row r="27" ht="45.65" customHeight="1" spans="1:23" x14ac:dyDescent="0.25">
      <c r="A27" s="121">
        <v>22</v>
      </c>
      <c r="B27" s="122">
        <v>1022</v>
      </c>
      <c r="C27" s="155" t="s">
        <v>68</v>
      </c>
      <c r="D27" s="154"/>
      <c r="E27" s="155"/>
      <c r="F27" s="157">
        <v>150</v>
      </c>
      <c r="G27" s="125">
        <v>26</v>
      </c>
      <c r="H27" s="125">
        <v>0</v>
      </c>
      <c r="I27" s="126">
        <f t="shared" si="0"/>
        <v>150</v>
      </c>
      <c r="J27" s="126">
        <v>0</v>
      </c>
      <c r="K27" s="126">
        <v>0</v>
      </c>
      <c r="L27" s="126">
        <v>0</v>
      </c>
      <c r="M27" s="126">
        <v>0</v>
      </c>
      <c r="N27" s="126">
        <f t="shared" si="1"/>
        <v>150</v>
      </c>
      <c r="O27" s="126">
        <v>0</v>
      </c>
      <c r="P27" s="126">
        <v>0</v>
      </c>
      <c r="Q27" s="126">
        <v>0</v>
      </c>
      <c r="R27" s="126">
        <v>0</v>
      </c>
      <c r="S27" s="127">
        <f t="shared" si="2"/>
        <v>150</v>
      </c>
      <c r="T27" s="132"/>
      <c r="V27" s="132"/>
      <c r="W27" s="132"/>
    </row>
    <row r="28" ht="45.65" customHeight="1" spans="1:23" x14ac:dyDescent="0.25">
      <c r="A28" s="121">
        <v>23</v>
      </c>
      <c r="B28" s="129">
        <v>1023</v>
      </c>
      <c r="C28" s="155" t="s">
        <v>70</v>
      </c>
      <c r="D28" s="154"/>
      <c r="E28" s="155"/>
      <c r="F28" s="157">
        <v>150</v>
      </c>
      <c r="G28" s="125">
        <v>26</v>
      </c>
      <c r="H28" s="125">
        <v>0</v>
      </c>
      <c r="I28" s="126">
        <f t="shared" si="0"/>
        <v>150</v>
      </c>
      <c r="J28" s="126">
        <v>0</v>
      </c>
      <c r="K28" s="126">
        <v>0</v>
      </c>
      <c r="L28" s="126">
        <v>0</v>
      </c>
      <c r="M28" s="126">
        <v>0</v>
      </c>
      <c r="N28" s="126">
        <f t="shared" si="1"/>
        <v>150</v>
      </c>
      <c r="O28" s="126">
        <v>0</v>
      </c>
      <c r="P28" s="126">
        <v>0</v>
      </c>
      <c r="Q28" s="126">
        <v>0</v>
      </c>
      <c r="R28" s="126">
        <v>0</v>
      </c>
      <c r="S28" s="127">
        <f t="shared" si="2"/>
        <v>150</v>
      </c>
      <c r="T28" s="132"/>
      <c r="V28" s="132"/>
      <c r="W28" s="132"/>
    </row>
    <row r="29" ht="45.65" customHeight="1" spans="1:23" x14ac:dyDescent="0.25">
      <c r="A29" s="121">
        <v>24</v>
      </c>
      <c r="B29" s="122">
        <v>1024</v>
      </c>
      <c r="C29" s="155" t="s">
        <v>71</v>
      </c>
      <c r="D29" s="154"/>
      <c r="E29" s="155"/>
      <c r="F29" s="157">
        <v>150</v>
      </c>
      <c r="G29" s="125">
        <v>26</v>
      </c>
      <c r="H29" s="125">
        <v>0</v>
      </c>
      <c r="I29" s="126">
        <f t="shared" si="0"/>
        <v>150</v>
      </c>
      <c r="J29" s="126">
        <v>0</v>
      </c>
      <c r="K29" s="126">
        <v>0</v>
      </c>
      <c r="L29" s="126">
        <v>0</v>
      </c>
      <c r="M29" s="126">
        <v>0</v>
      </c>
      <c r="N29" s="126">
        <f t="shared" si="1"/>
        <v>150</v>
      </c>
      <c r="O29" s="126">
        <v>0</v>
      </c>
      <c r="P29" s="126">
        <v>0</v>
      </c>
      <c r="Q29" s="126">
        <v>0</v>
      </c>
      <c r="R29" s="126">
        <v>0</v>
      </c>
      <c r="S29" s="127">
        <f t="shared" si="2"/>
        <v>150</v>
      </c>
      <c r="T29" s="132"/>
      <c r="V29" s="132"/>
      <c r="W29" s="132"/>
    </row>
    <row r="30" ht="45.65" customHeight="1" spans="1:23" x14ac:dyDescent="0.25">
      <c r="A30" s="121">
        <v>25</v>
      </c>
      <c r="B30" s="129">
        <v>1025</v>
      </c>
      <c r="C30" s="155" t="s">
        <v>72</v>
      </c>
      <c r="D30" s="154"/>
      <c r="E30" s="155"/>
      <c r="F30" s="157">
        <v>150</v>
      </c>
      <c r="G30" s="125">
        <v>26</v>
      </c>
      <c r="H30" s="125">
        <v>0</v>
      </c>
      <c r="I30" s="126">
        <f t="shared" si="0"/>
        <v>150</v>
      </c>
      <c r="J30" s="126">
        <v>0</v>
      </c>
      <c r="K30" s="126">
        <v>0</v>
      </c>
      <c r="L30" s="126">
        <v>0</v>
      </c>
      <c r="M30" s="126">
        <v>0</v>
      </c>
      <c r="N30" s="126">
        <f t="shared" si="1"/>
        <v>150</v>
      </c>
      <c r="O30" s="126">
        <v>0</v>
      </c>
      <c r="P30" s="126">
        <v>0</v>
      </c>
      <c r="Q30" s="126">
        <v>0</v>
      </c>
      <c r="R30" s="126">
        <v>0</v>
      </c>
      <c r="S30" s="127">
        <f t="shared" si="2"/>
        <v>150</v>
      </c>
      <c r="T30" s="132"/>
      <c r="V30" s="132"/>
      <c r="W30" s="132"/>
    </row>
    <row r="31" ht="45.65" customHeight="1" spans="1:23" x14ac:dyDescent="0.25">
      <c r="A31" s="121">
        <v>26</v>
      </c>
      <c r="B31" s="122">
        <v>1026</v>
      </c>
      <c r="C31" s="155" t="s">
        <v>73</v>
      </c>
      <c r="D31" s="154"/>
      <c r="E31" s="155"/>
      <c r="F31" s="157">
        <v>420</v>
      </c>
      <c r="G31" s="125">
        <v>26</v>
      </c>
      <c r="H31" s="125">
        <v>0</v>
      </c>
      <c r="I31" s="126">
        <f t="shared" si="0"/>
        <v>420</v>
      </c>
      <c r="J31" s="126">
        <v>0</v>
      </c>
      <c r="K31" s="126">
        <v>0</v>
      </c>
      <c r="L31" s="126">
        <v>0</v>
      </c>
      <c r="M31" s="126">
        <v>0</v>
      </c>
      <c r="N31" s="126">
        <f t="shared" si="1"/>
        <v>420</v>
      </c>
      <c r="O31" s="126">
        <v>0</v>
      </c>
      <c r="P31" s="126">
        <v>0</v>
      </c>
      <c r="Q31" s="126">
        <v>0</v>
      </c>
      <c r="R31" s="126">
        <v>0</v>
      </c>
      <c r="S31" s="127">
        <f t="shared" si="2"/>
        <v>420</v>
      </c>
      <c r="T31" s="132"/>
      <c r="V31" s="132"/>
      <c r="W31" s="132"/>
    </row>
    <row r="32" ht="45.65" customHeight="1" spans="1:23" x14ac:dyDescent="0.25">
      <c r="A32" s="121">
        <v>27</v>
      </c>
      <c r="B32" s="129">
        <v>1027</v>
      </c>
      <c r="C32" s="155" t="s">
        <v>74</v>
      </c>
      <c r="D32" s="154"/>
      <c r="E32" s="155"/>
      <c r="F32" s="157">
        <v>250</v>
      </c>
      <c r="G32" s="125">
        <v>26</v>
      </c>
      <c r="H32" s="125">
        <v>0</v>
      </c>
      <c r="I32" s="126">
        <f t="shared" si="0"/>
        <v>250</v>
      </c>
      <c r="J32" s="126">
        <v>0</v>
      </c>
      <c r="K32" s="126">
        <v>0</v>
      </c>
      <c r="L32" s="126">
        <v>0</v>
      </c>
      <c r="M32" s="126">
        <v>0</v>
      </c>
      <c r="N32" s="126">
        <f t="shared" si="1"/>
        <v>250</v>
      </c>
      <c r="O32" s="126">
        <v>0</v>
      </c>
      <c r="P32" s="126">
        <v>0</v>
      </c>
      <c r="Q32" s="126">
        <v>0</v>
      </c>
      <c r="R32" s="126">
        <v>0</v>
      </c>
      <c r="S32" s="127">
        <f t="shared" si="2"/>
        <v>250</v>
      </c>
      <c r="T32" s="132"/>
      <c r="V32" s="132"/>
      <c r="W32" s="132"/>
    </row>
    <row r="33" ht="45.65" customHeight="1" spans="1:23" x14ac:dyDescent="0.25">
      <c r="A33" s="121">
        <v>28</v>
      </c>
      <c r="B33" s="122">
        <v>1028</v>
      </c>
      <c r="C33" s="155" t="s">
        <v>75</v>
      </c>
      <c r="D33" s="154"/>
      <c r="E33" s="155"/>
      <c r="F33" s="157">
        <v>600</v>
      </c>
      <c r="G33" s="125">
        <v>26</v>
      </c>
      <c r="H33" s="125">
        <v>0</v>
      </c>
      <c r="I33" s="126">
        <f t="shared" si="0"/>
        <v>600</v>
      </c>
      <c r="J33" s="126">
        <v>0</v>
      </c>
      <c r="K33" s="126">
        <v>0</v>
      </c>
      <c r="L33" s="126">
        <v>0</v>
      </c>
      <c r="M33" s="126">
        <v>0</v>
      </c>
      <c r="N33" s="126">
        <f t="shared" si="1"/>
        <v>600</v>
      </c>
      <c r="O33" s="126">
        <v>0</v>
      </c>
      <c r="P33" s="126">
        <v>0</v>
      </c>
      <c r="Q33" s="126">
        <v>0</v>
      </c>
      <c r="R33" s="126">
        <v>0</v>
      </c>
      <c r="S33" s="127">
        <f t="shared" si="2"/>
        <v>600</v>
      </c>
      <c r="T33" s="132"/>
      <c r="V33" s="132">
        <v>250</v>
      </c>
      <c r="W33" s="134">
        <f>S33-V33</f>
        <v>350</v>
      </c>
    </row>
    <row r="34" ht="45.65" customHeight="1" spans="1:23" x14ac:dyDescent="0.25">
      <c r="A34" s="121">
        <v>29</v>
      </c>
      <c r="B34" s="129">
        <v>1029</v>
      </c>
      <c r="C34" s="155" t="s">
        <v>77</v>
      </c>
      <c r="D34" s="154"/>
      <c r="E34" s="155"/>
      <c r="F34" s="157">
        <v>350</v>
      </c>
      <c r="G34" s="125">
        <v>26</v>
      </c>
      <c r="H34" s="125">
        <v>0</v>
      </c>
      <c r="I34" s="126">
        <f t="shared" si="0"/>
        <v>350</v>
      </c>
      <c r="J34" s="126">
        <v>0</v>
      </c>
      <c r="K34" s="126">
        <v>0</v>
      </c>
      <c r="L34" s="126">
        <v>0</v>
      </c>
      <c r="M34" s="126">
        <v>0</v>
      </c>
      <c r="N34" s="126">
        <f t="shared" si="1"/>
        <v>350</v>
      </c>
      <c r="O34" s="126">
        <v>0</v>
      </c>
      <c r="P34" s="126">
        <v>0</v>
      </c>
      <c r="Q34" s="126">
        <v>0</v>
      </c>
      <c r="R34" s="126">
        <v>0</v>
      </c>
      <c r="S34" s="127">
        <f t="shared" si="2"/>
        <v>350</v>
      </c>
      <c r="T34" s="132"/>
      <c r="V34" s="132"/>
      <c r="W34" s="132"/>
    </row>
    <row r="35" ht="45.65" customHeight="1" spans="1:23" x14ac:dyDescent="0.25">
      <c r="A35" s="121">
        <v>30</v>
      </c>
      <c r="B35" s="122">
        <v>1030</v>
      </c>
      <c r="C35" s="155" t="s">
        <v>79</v>
      </c>
      <c r="D35" s="154"/>
      <c r="E35" s="155"/>
      <c r="F35" s="157">
        <v>400</v>
      </c>
      <c r="G35" s="125">
        <v>26</v>
      </c>
      <c r="H35" s="125">
        <v>0</v>
      </c>
      <c r="I35" s="126">
        <f t="shared" si="0"/>
        <v>400</v>
      </c>
      <c r="J35" s="126">
        <v>0</v>
      </c>
      <c r="K35" s="126">
        <v>0</v>
      </c>
      <c r="L35" s="126">
        <v>0</v>
      </c>
      <c r="M35" s="126">
        <v>0</v>
      </c>
      <c r="N35" s="126">
        <f t="shared" si="1"/>
        <v>400</v>
      </c>
      <c r="O35" s="126">
        <v>0</v>
      </c>
      <c r="P35" s="126">
        <v>0</v>
      </c>
      <c r="Q35" s="126">
        <v>0</v>
      </c>
      <c r="R35" s="126">
        <v>0</v>
      </c>
      <c r="S35" s="127">
        <f t="shared" si="2"/>
        <v>400</v>
      </c>
      <c r="T35" s="132"/>
      <c r="V35" s="132"/>
      <c r="W35" s="132"/>
    </row>
    <row r="36" ht="45.65" customHeight="1" spans="1:23" x14ac:dyDescent="0.25">
      <c r="A36" s="121">
        <v>31</v>
      </c>
      <c r="B36" s="129">
        <v>1031</v>
      </c>
      <c r="C36" s="155" t="s">
        <v>80</v>
      </c>
      <c r="D36" s="154"/>
      <c r="E36" s="155"/>
      <c r="F36" s="157">
        <v>250</v>
      </c>
      <c r="G36" s="125">
        <v>26</v>
      </c>
      <c r="H36" s="125">
        <v>0</v>
      </c>
      <c r="I36" s="126">
        <f t="shared" si="0"/>
        <v>250</v>
      </c>
      <c r="J36" s="126">
        <v>0</v>
      </c>
      <c r="K36" s="126">
        <v>0</v>
      </c>
      <c r="L36" s="126">
        <v>0</v>
      </c>
      <c r="M36" s="126">
        <v>0</v>
      </c>
      <c r="N36" s="126">
        <f t="shared" si="1"/>
        <v>250</v>
      </c>
      <c r="O36" s="126">
        <v>0</v>
      </c>
      <c r="P36" s="126">
        <v>0</v>
      </c>
      <c r="Q36" s="126">
        <v>0</v>
      </c>
      <c r="R36" s="126">
        <v>0</v>
      </c>
      <c r="S36" s="127">
        <f t="shared" si="2"/>
        <v>250</v>
      </c>
      <c r="T36" s="132"/>
      <c r="V36" s="132"/>
      <c r="W36" s="132"/>
    </row>
    <row r="37" ht="45.65" customHeight="1" spans="1:23" x14ac:dyDescent="0.25">
      <c r="A37" s="121">
        <v>32</v>
      </c>
      <c r="B37" s="122">
        <v>1032</v>
      </c>
      <c r="C37" s="155" t="s">
        <v>81</v>
      </c>
      <c r="D37" s="154"/>
      <c r="E37" s="155"/>
      <c r="F37" s="157">
        <v>350</v>
      </c>
      <c r="G37" s="125">
        <v>26</v>
      </c>
      <c r="H37" s="125">
        <v>0</v>
      </c>
      <c r="I37" s="126">
        <f t="shared" si="0"/>
        <v>350</v>
      </c>
      <c r="J37" s="126">
        <v>0</v>
      </c>
      <c r="K37" s="126">
        <v>0</v>
      </c>
      <c r="L37" s="126">
        <v>0</v>
      </c>
      <c r="M37" s="126">
        <v>0</v>
      </c>
      <c r="N37" s="126">
        <f t="shared" si="1"/>
        <v>350</v>
      </c>
      <c r="O37" s="126">
        <v>0</v>
      </c>
      <c r="P37" s="126">
        <v>0</v>
      </c>
      <c r="Q37" s="126">
        <v>0</v>
      </c>
      <c r="R37" s="126">
        <v>0</v>
      </c>
      <c r="S37" s="127">
        <f t="shared" si="2"/>
        <v>350</v>
      </c>
      <c r="T37" s="132"/>
      <c r="V37" s="132"/>
      <c r="W37" s="132"/>
    </row>
    <row r="38" ht="45.65" customHeight="1" spans="1:23" x14ac:dyDescent="0.25">
      <c r="A38" s="121">
        <v>33</v>
      </c>
      <c r="B38" s="129">
        <v>1033</v>
      </c>
      <c r="C38" s="155" t="s">
        <v>83</v>
      </c>
      <c r="D38" s="154"/>
      <c r="E38" s="155"/>
      <c r="F38" s="157">
        <v>600</v>
      </c>
      <c r="G38" s="125">
        <v>26</v>
      </c>
      <c r="H38" s="125">
        <v>0</v>
      </c>
      <c r="I38" s="126">
        <f t="shared" si="0"/>
        <v>600</v>
      </c>
      <c r="J38" s="126">
        <v>0</v>
      </c>
      <c r="K38" s="126">
        <v>0</v>
      </c>
      <c r="L38" s="126">
        <v>0</v>
      </c>
      <c r="M38" s="126">
        <v>0</v>
      </c>
      <c r="N38" s="126">
        <f t="shared" si="1"/>
        <v>600</v>
      </c>
      <c r="O38" s="126">
        <v>0</v>
      </c>
      <c r="P38" s="126">
        <v>0</v>
      </c>
      <c r="Q38" s="126">
        <v>0</v>
      </c>
      <c r="R38" s="126">
        <v>0</v>
      </c>
      <c r="S38" s="127">
        <f t="shared" si="2"/>
        <v>600</v>
      </c>
      <c r="T38" s="132"/>
      <c r="V38" s="132">
        <v>250</v>
      </c>
      <c r="W38" s="134">
        <f>S38-V38</f>
        <v>350</v>
      </c>
    </row>
    <row r="39" ht="45.65" customHeight="1" spans="1:23" x14ac:dyDescent="0.25">
      <c r="A39" s="121">
        <v>34</v>
      </c>
      <c r="B39" s="122">
        <v>1034</v>
      </c>
      <c r="C39" s="155" t="s">
        <v>84</v>
      </c>
      <c r="D39" s="154"/>
      <c r="E39" s="155"/>
      <c r="F39" s="157">
        <v>250</v>
      </c>
      <c r="G39" s="125">
        <v>26</v>
      </c>
      <c r="H39" s="125">
        <v>0</v>
      </c>
      <c r="I39" s="126">
        <f t="shared" si="0"/>
        <v>250</v>
      </c>
      <c r="J39" s="126">
        <v>0</v>
      </c>
      <c r="K39" s="126">
        <v>0</v>
      </c>
      <c r="L39" s="126">
        <v>0</v>
      </c>
      <c r="M39" s="126">
        <v>0</v>
      </c>
      <c r="N39" s="126">
        <f t="shared" si="1"/>
        <v>250</v>
      </c>
      <c r="O39" s="126">
        <v>0</v>
      </c>
      <c r="P39" s="126">
        <v>0</v>
      </c>
      <c r="Q39" s="126">
        <v>0</v>
      </c>
      <c r="R39" s="126">
        <v>0</v>
      </c>
      <c r="S39" s="127">
        <f t="shared" si="2"/>
        <v>250</v>
      </c>
      <c r="T39" s="132"/>
      <c r="V39" s="132"/>
      <c r="W39" s="132"/>
    </row>
    <row r="40" ht="45.65" customHeight="1" spans="1:23" x14ac:dyDescent="0.25">
      <c r="A40" s="121">
        <v>35</v>
      </c>
      <c r="B40" s="129">
        <v>1035</v>
      </c>
      <c r="C40" s="155" t="s">
        <v>85</v>
      </c>
      <c r="D40" s="154"/>
      <c r="E40" s="155"/>
      <c r="F40" s="157">
        <v>250</v>
      </c>
      <c r="G40" s="125">
        <v>26</v>
      </c>
      <c r="H40" s="125">
        <v>0</v>
      </c>
      <c r="I40" s="126">
        <f t="shared" si="0"/>
        <v>250</v>
      </c>
      <c r="J40" s="126">
        <v>0</v>
      </c>
      <c r="K40" s="126">
        <v>0</v>
      </c>
      <c r="L40" s="126">
        <v>0</v>
      </c>
      <c r="M40" s="126">
        <v>0</v>
      </c>
      <c r="N40" s="126">
        <f t="shared" si="1"/>
        <v>250</v>
      </c>
      <c r="O40" s="126">
        <v>0</v>
      </c>
      <c r="P40" s="126">
        <v>0</v>
      </c>
      <c r="Q40" s="126">
        <v>0</v>
      </c>
      <c r="R40" s="126">
        <v>0</v>
      </c>
      <c r="S40" s="127">
        <f t="shared" si="2"/>
        <v>250</v>
      </c>
      <c r="T40" s="132"/>
      <c r="V40" s="132"/>
      <c r="W40" s="132"/>
    </row>
    <row r="41" ht="45.65" customHeight="1" spans="1:23" x14ac:dyDescent="0.25">
      <c r="A41" s="121">
        <v>36</v>
      </c>
      <c r="B41" s="122">
        <v>1036</v>
      </c>
      <c r="C41" s="155" t="s">
        <v>86</v>
      </c>
      <c r="D41" s="154"/>
      <c r="E41" s="155"/>
      <c r="F41" s="157">
        <v>120</v>
      </c>
      <c r="G41" s="125">
        <v>26</v>
      </c>
      <c r="H41" s="125">
        <v>0</v>
      </c>
      <c r="I41" s="126">
        <f t="shared" si="0"/>
        <v>119.99999999999999</v>
      </c>
      <c r="J41" s="126">
        <v>0</v>
      </c>
      <c r="K41" s="126">
        <v>0</v>
      </c>
      <c r="L41" s="126">
        <v>0</v>
      </c>
      <c r="M41" s="126">
        <v>0</v>
      </c>
      <c r="N41" s="126">
        <f t="shared" si="1"/>
        <v>119.99999999999999</v>
      </c>
      <c r="O41" s="126">
        <v>0</v>
      </c>
      <c r="P41" s="126">
        <v>0</v>
      </c>
      <c r="Q41" s="126">
        <v>0</v>
      </c>
      <c r="R41" s="126">
        <v>0</v>
      </c>
      <c r="S41" s="127">
        <f t="shared" si="2"/>
        <v>119.99999999999999</v>
      </c>
      <c r="T41" s="132"/>
      <c r="V41" s="132"/>
      <c r="W41" s="132"/>
    </row>
    <row r="42" ht="45.65" customHeight="1" spans="1:23" x14ac:dyDescent="0.25">
      <c r="A42" s="121">
        <v>37</v>
      </c>
      <c r="B42" s="129">
        <v>1037</v>
      </c>
      <c r="C42" s="155" t="s">
        <v>87</v>
      </c>
      <c r="D42" s="154"/>
      <c r="E42" s="155"/>
      <c r="F42" s="157">
        <v>150</v>
      </c>
      <c r="G42" s="125">
        <v>26</v>
      </c>
      <c r="H42" s="125">
        <v>0</v>
      </c>
      <c r="I42" s="126">
        <f t="shared" si="0"/>
        <v>150</v>
      </c>
      <c r="J42" s="126">
        <v>0</v>
      </c>
      <c r="K42" s="126">
        <v>0</v>
      </c>
      <c r="L42" s="126">
        <v>0</v>
      </c>
      <c r="M42" s="126">
        <v>0</v>
      </c>
      <c r="N42" s="126">
        <f t="shared" si="1"/>
        <v>150</v>
      </c>
      <c r="O42" s="126">
        <v>0</v>
      </c>
      <c r="P42" s="126">
        <v>0</v>
      </c>
      <c r="Q42" s="126">
        <v>0</v>
      </c>
      <c r="R42" s="126">
        <v>0</v>
      </c>
      <c r="S42" s="127">
        <f t="shared" si="2"/>
        <v>150</v>
      </c>
      <c r="T42" s="132"/>
      <c r="V42" s="132"/>
      <c r="W42" s="132"/>
    </row>
    <row r="43" ht="45.65" customHeight="1" spans="1:23" x14ac:dyDescent="0.25">
      <c r="A43" s="121">
        <v>38</v>
      </c>
      <c r="B43" s="122">
        <v>1038</v>
      </c>
      <c r="C43" s="155" t="s">
        <v>88</v>
      </c>
      <c r="D43" s="154"/>
      <c r="E43" s="155"/>
      <c r="F43" s="157">
        <v>150</v>
      </c>
      <c r="G43" s="125">
        <v>26</v>
      </c>
      <c r="H43" s="125">
        <v>0</v>
      </c>
      <c r="I43" s="126">
        <f t="shared" si="0"/>
        <v>150</v>
      </c>
      <c r="J43" s="126">
        <v>0</v>
      </c>
      <c r="K43" s="126">
        <v>0</v>
      </c>
      <c r="L43" s="126">
        <v>0</v>
      </c>
      <c r="M43" s="126">
        <v>0</v>
      </c>
      <c r="N43" s="126">
        <f t="shared" si="1"/>
        <v>150</v>
      </c>
      <c r="O43" s="126">
        <v>0</v>
      </c>
      <c r="P43" s="126">
        <v>0</v>
      </c>
      <c r="Q43" s="126">
        <v>0</v>
      </c>
      <c r="R43" s="126">
        <v>0</v>
      </c>
      <c r="S43" s="127">
        <f t="shared" si="2"/>
        <v>150</v>
      </c>
      <c r="T43" s="132"/>
      <c r="V43" s="132"/>
      <c r="W43" s="132"/>
    </row>
    <row r="44" ht="45.65" customHeight="1" spans="1:23" x14ac:dyDescent="0.25">
      <c r="A44" s="121">
        <v>39</v>
      </c>
      <c r="B44" s="129">
        <v>1039</v>
      </c>
      <c r="C44" s="155" t="s">
        <v>89</v>
      </c>
      <c r="D44" s="154"/>
      <c r="E44" s="155"/>
      <c r="F44" s="157">
        <v>150</v>
      </c>
      <c r="G44" s="125">
        <v>26</v>
      </c>
      <c r="H44" s="125">
        <v>0</v>
      </c>
      <c r="I44" s="126">
        <f t="shared" si="0"/>
        <v>150</v>
      </c>
      <c r="J44" s="126">
        <v>0</v>
      </c>
      <c r="K44" s="126">
        <v>0</v>
      </c>
      <c r="L44" s="126">
        <v>0</v>
      </c>
      <c r="M44" s="126">
        <v>0</v>
      </c>
      <c r="N44" s="126">
        <f t="shared" si="1"/>
        <v>150</v>
      </c>
      <c r="O44" s="126">
        <v>0</v>
      </c>
      <c r="P44" s="126">
        <v>0</v>
      </c>
      <c r="Q44" s="126">
        <v>0</v>
      </c>
      <c r="R44" s="126">
        <v>0</v>
      </c>
      <c r="S44" s="127">
        <f t="shared" si="2"/>
        <v>150</v>
      </c>
      <c r="T44" s="132"/>
      <c r="V44" s="132"/>
      <c r="W44" s="132"/>
    </row>
    <row r="45" ht="45.65" customHeight="1" spans="1:23" x14ac:dyDescent="0.25">
      <c r="A45" s="121">
        <v>41</v>
      </c>
      <c r="B45" s="122">
        <v>1040</v>
      </c>
      <c r="C45" s="155" t="s">
        <v>90</v>
      </c>
      <c r="D45" s="154"/>
      <c r="E45" s="155"/>
      <c r="F45" s="157">
        <v>750</v>
      </c>
      <c r="G45" s="125">
        <v>26</v>
      </c>
      <c r="H45" s="125">
        <v>0</v>
      </c>
      <c r="I45" s="126">
        <f t="shared" si="0"/>
        <v>750</v>
      </c>
      <c r="J45" s="126">
        <v>0</v>
      </c>
      <c r="K45" s="126">
        <v>0</v>
      </c>
      <c r="L45" s="126">
        <v>0</v>
      </c>
      <c r="M45" s="126">
        <v>0</v>
      </c>
      <c r="N45" s="126">
        <f t="shared" si="1"/>
        <v>750</v>
      </c>
      <c r="O45" s="126">
        <v>0</v>
      </c>
      <c r="P45" s="126">
        <v>0</v>
      </c>
      <c r="Q45" s="126">
        <v>0</v>
      </c>
      <c r="R45" s="126">
        <v>0</v>
      </c>
      <c r="S45" s="127">
        <f t="shared" si="2"/>
        <v>750</v>
      </c>
      <c r="T45" s="132"/>
      <c r="V45" s="132">
        <v>400</v>
      </c>
      <c r="W45" s="134">
        <f t="shared" ref="W45:W52" si="3">F45-V45</f>
        <v>350</v>
      </c>
    </row>
    <row r="46" ht="45.65" customHeight="1" spans="1:23" x14ac:dyDescent="0.25">
      <c r="A46" s="121">
        <v>42</v>
      </c>
      <c r="B46" s="129">
        <v>1041</v>
      </c>
      <c r="C46" s="155" t="s">
        <v>91</v>
      </c>
      <c r="D46" s="154"/>
      <c r="E46" s="155"/>
      <c r="F46" s="157">
        <v>350</v>
      </c>
      <c r="G46" s="125">
        <v>26</v>
      </c>
      <c r="H46" s="125">
        <v>0</v>
      </c>
      <c r="I46" s="126">
        <f t="shared" si="0"/>
        <v>350</v>
      </c>
      <c r="J46" s="126">
        <v>0</v>
      </c>
      <c r="K46" s="126">
        <v>0</v>
      </c>
      <c r="L46" s="126">
        <v>0</v>
      </c>
      <c r="M46" s="126">
        <v>0</v>
      </c>
      <c r="N46" s="126">
        <f t="shared" si="1"/>
        <v>350</v>
      </c>
      <c r="O46" s="126">
        <v>0</v>
      </c>
      <c r="P46" s="126">
        <v>0</v>
      </c>
      <c r="Q46" s="126">
        <v>0</v>
      </c>
      <c r="R46" s="126">
        <v>0</v>
      </c>
      <c r="S46" s="127">
        <f t="shared" si="2"/>
        <v>350</v>
      </c>
      <c r="T46" s="132"/>
      <c r="V46" s="134">
        <v>0</v>
      </c>
      <c r="W46" s="134">
        <f t="shared" si="3"/>
        <v>350</v>
      </c>
    </row>
    <row r="47" ht="45.65" customHeight="1" spans="1:23" x14ac:dyDescent="0.25">
      <c r="A47" s="121">
        <v>43</v>
      </c>
      <c r="B47" s="122">
        <v>1042</v>
      </c>
      <c r="C47" s="155" t="s">
        <v>92</v>
      </c>
      <c r="D47" s="154"/>
      <c r="E47" s="155"/>
      <c r="F47" s="157">
        <v>300</v>
      </c>
      <c r="G47" s="125">
        <v>26</v>
      </c>
      <c r="H47" s="125">
        <v>0</v>
      </c>
      <c r="I47" s="126">
        <f t="shared" si="0"/>
        <v>300</v>
      </c>
      <c r="J47" s="126">
        <v>0</v>
      </c>
      <c r="K47" s="126">
        <v>0</v>
      </c>
      <c r="L47" s="126">
        <v>0</v>
      </c>
      <c r="M47" s="126">
        <v>0</v>
      </c>
      <c r="N47" s="126">
        <f t="shared" si="1"/>
        <v>300</v>
      </c>
      <c r="O47" s="126">
        <v>0</v>
      </c>
      <c r="P47" s="126">
        <v>0</v>
      </c>
      <c r="Q47" s="126">
        <v>0</v>
      </c>
      <c r="R47" s="126">
        <v>0</v>
      </c>
      <c r="S47" s="127">
        <f t="shared" si="2"/>
        <v>300</v>
      </c>
      <c r="T47" s="132"/>
      <c r="V47" s="132">
        <v>0</v>
      </c>
      <c r="W47" s="134">
        <f t="shared" si="3"/>
        <v>300</v>
      </c>
    </row>
    <row r="48" ht="45.65" customHeight="1" spans="1:23" x14ac:dyDescent="0.25">
      <c r="A48" s="121">
        <v>45</v>
      </c>
      <c r="B48" s="122">
        <v>1044</v>
      </c>
      <c r="C48" s="155" t="s">
        <v>93</v>
      </c>
      <c r="D48" s="154"/>
      <c r="E48" s="155"/>
      <c r="F48" s="157">
        <v>600</v>
      </c>
      <c r="G48" s="125">
        <v>26</v>
      </c>
      <c r="H48" s="125">
        <v>0</v>
      </c>
      <c r="I48" s="126">
        <f t="shared" si="0"/>
        <v>600</v>
      </c>
      <c r="J48" s="126">
        <v>0</v>
      </c>
      <c r="K48" s="126">
        <v>0</v>
      </c>
      <c r="L48" s="126">
        <v>0</v>
      </c>
      <c r="M48" s="126">
        <v>0</v>
      </c>
      <c r="N48" s="126">
        <f t="shared" si="1"/>
        <v>600</v>
      </c>
      <c r="O48" s="126">
        <v>0</v>
      </c>
      <c r="P48" s="126">
        <v>0</v>
      </c>
      <c r="Q48" s="126">
        <v>0</v>
      </c>
      <c r="R48" s="126">
        <v>0</v>
      </c>
      <c r="S48" s="127">
        <f t="shared" si="2"/>
        <v>600</v>
      </c>
      <c r="T48" s="132"/>
      <c r="V48" s="132">
        <v>0</v>
      </c>
      <c r="W48" s="132">
        <f t="shared" si="3"/>
        <v>600</v>
      </c>
    </row>
    <row r="49" ht="45.65" customHeight="1" spans="1:23" x14ac:dyDescent="0.25">
      <c r="A49" s="121">
        <v>46</v>
      </c>
      <c r="B49" s="129">
        <v>1045</v>
      </c>
      <c r="C49" s="155" t="s">
        <v>55</v>
      </c>
      <c r="D49" s="154"/>
      <c r="E49" s="155"/>
      <c r="F49" s="157">
        <v>600</v>
      </c>
      <c r="G49" s="125">
        <v>26</v>
      </c>
      <c r="H49" s="125">
        <v>0</v>
      </c>
      <c r="I49" s="126">
        <f t="shared" si="0"/>
        <v>600</v>
      </c>
      <c r="J49" s="126">
        <v>0</v>
      </c>
      <c r="K49" s="126">
        <v>0</v>
      </c>
      <c r="L49" s="126">
        <v>0</v>
      </c>
      <c r="M49" s="126">
        <v>0</v>
      </c>
      <c r="N49" s="126">
        <f t="shared" si="1"/>
        <v>600</v>
      </c>
      <c r="O49" s="126">
        <v>0</v>
      </c>
      <c r="P49" s="126">
        <v>0</v>
      </c>
      <c r="Q49" s="126">
        <v>0</v>
      </c>
      <c r="R49" s="126">
        <v>0</v>
      </c>
      <c r="S49" s="127">
        <f t="shared" si="2"/>
        <v>600</v>
      </c>
      <c r="T49" s="132"/>
      <c r="V49" s="132">
        <v>430</v>
      </c>
      <c r="W49" s="132">
        <f t="shared" si="3"/>
        <v>170</v>
      </c>
    </row>
    <row r="50" ht="45.65" customHeight="1" spans="1:23" x14ac:dyDescent="0.25">
      <c r="A50" s="121">
        <v>47</v>
      </c>
      <c r="B50" s="122">
        <v>1046</v>
      </c>
      <c r="C50" s="155" t="s">
        <v>94</v>
      </c>
      <c r="D50" s="154"/>
      <c r="E50" s="155"/>
      <c r="F50" s="157">
        <v>150</v>
      </c>
      <c r="G50" s="125">
        <v>26</v>
      </c>
      <c r="H50" s="125">
        <v>0</v>
      </c>
      <c r="I50" s="126">
        <f t="shared" si="0"/>
        <v>150</v>
      </c>
      <c r="J50" s="126">
        <v>0</v>
      </c>
      <c r="K50" s="126">
        <v>0</v>
      </c>
      <c r="L50" s="126">
        <v>0</v>
      </c>
      <c r="M50" s="126">
        <v>0</v>
      </c>
      <c r="N50" s="126">
        <f t="shared" si="1"/>
        <v>150</v>
      </c>
      <c r="O50" s="126">
        <v>0</v>
      </c>
      <c r="P50" s="126">
        <v>0</v>
      </c>
      <c r="Q50" s="126">
        <v>0</v>
      </c>
      <c r="R50" s="126">
        <v>0</v>
      </c>
      <c r="S50" s="127">
        <f t="shared" si="2"/>
        <v>150</v>
      </c>
      <c r="T50" s="132"/>
      <c r="V50" s="132">
        <v>0</v>
      </c>
      <c r="W50" s="132">
        <f t="shared" si="3"/>
        <v>150</v>
      </c>
    </row>
    <row r="51" ht="45.65" customHeight="1" spans="1:23" x14ac:dyDescent="0.25">
      <c r="A51" s="121">
        <v>48</v>
      </c>
      <c r="B51" s="129">
        <v>1047</v>
      </c>
      <c r="C51" s="155" t="s">
        <v>95</v>
      </c>
      <c r="D51" s="154"/>
      <c r="E51" s="155"/>
      <c r="F51" s="157">
        <v>150</v>
      </c>
      <c r="G51" s="125">
        <v>26</v>
      </c>
      <c r="H51" s="125">
        <v>0</v>
      </c>
      <c r="I51" s="126">
        <f t="shared" si="0"/>
        <v>150</v>
      </c>
      <c r="J51" s="126">
        <v>0</v>
      </c>
      <c r="K51" s="126">
        <v>0</v>
      </c>
      <c r="L51" s="126">
        <v>0</v>
      </c>
      <c r="M51" s="126">
        <v>0</v>
      </c>
      <c r="N51" s="126">
        <f t="shared" si="1"/>
        <v>150</v>
      </c>
      <c r="O51" s="126">
        <v>0</v>
      </c>
      <c r="P51" s="126">
        <v>0</v>
      </c>
      <c r="Q51" s="126">
        <v>0</v>
      </c>
      <c r="R51" s="126">
        <v>0</v>
      </c>
      <c r="S51" s="127">
        <f t="shared" si="2"/>
        <v>150</v>
      </c>
      <c r="T51" s="132"/>
      <c r="V51" s="132">
        <v>0</v>
      </c>
      <c r="W51" s="132">
        <f t="shared" si="3"/>
        <v>150</v>
      </c>
    </row>
    <row r="52" ht="45.65" customHeight="1" spans="1:23" x14ac:dyDescent="0.25">
      <c r="A52" s="121">
        <v>49</v>
      </c>
      <c r="B52" s="122">
        <v>1048</v>
      </c>
      <c r="C52" s="155" t="s">
        <v>75</v>
      </c>
      <c r="D52" s="154"/>
      <c r="E52" s="155"/>
      <c r="F52" s="157">
        <v>600</v>
      </c>
      <c r="G52" s="125">
        <v>26</v>
      </c>
      <c r="H52" s="125">
        <v>0</v>
      </c>
      <c r="I52" s="126">
        <f t="shared" si="0"/>
        <v>600</v>
      </c>
      <c r="J52" s="126">
        <v>0</v>
      </c>
      <c r="K52" s="126">
        <v>0</v>
      </c>
      <c r="L52" s="126">
        <v>0</v>
      </c>
      <c r="M52" s="126">
        <v>0</v>
      </c>
      <c r="N52" s="126">
        <f t="shared" si="1"/>
        <v>600</v>
      </c>
      <c r="O52" s="126">
        <v>0</v>
      </c>
      <c r="P52" s="126">
        <v>0</v>
      </c>
      <c r="Q52" s="126">
        <v>0</v>
      </c>
      <c r="R52" s="126">
        <v>0</v>
      </c>
      <c r="S52" s="127">
        <f t="shared" si="2"/>
        <v>600</v>
      </c>
      <c r="T52" s="132"/>
      <c r="V52" s="132">
        <v>250</v>
      </c>
      <c r="W52" s="132">
        <f t="shared" si="3"/>
        <v>350</v>
      </c>
    </row>
    <row r="53" ht="45.65" customHeight="1" hidden="1" spans="1:20" x14ac:dyDescent="0.25">
      <c r="A53" s="41">
        <v>50</v>
      </c>
      <c r="B53" s="43"/>
      <c r="C53" s="135"/>
      <c r="D53" s="44"/>
      <c r="E53" s="135"/>
      <c r="F53" s="58"/>
      <c r="G53" s="46">
        <v>26</v>
      </c>
      <c r="H53" s="47">
        <v>0</v>
      </c>
      <c r="I53" s="51">
        <f t="shared" si="0"/>
        <v>0</v>
      </c>
      <c r="J53" s="48">
        <v>0</v>
      </c>
      <c r="K53" s="48">
        <v>0</v>
      </c>
      <c r="L53" s="48">
        <v>0</v>
      </c>
      <c r="M53" s="48">
        <v>0</v>
      </c>
      <c r="N53" s="52">
        <f t="shared" si="1"/>
        <v>0</v>
      </c>
      <c r="O53" s="136">
        <v>0</v>
      </c>
      <c r="P53" s="48">
        <v>0</v>
      </c>
      <c r="Q53" s="48">
        <v>0</v>
      </c>
      <c r="R53" s="52">
        <v>0</v>
      </c>
      <c r="S53" s="137">
        <f t="shared" si="2"/>
        <v>0</v>
      </c>
      <c r="T53" s="132"/>
    </row>
    <row r="54" ht="45.65" customHeight="1" hidden="1" spans="1:20" x14ac:dyDescent="0.25">
      <c r="A54" s="26">
        <v>51</v>
      </c>
      <c r="B54" s="43"/>
      <c r="C54" s="135"/>
      <c r="D54" s="44"/>
      <c r="E54" s="135"/>
      <c r="F54" s="58"/>
      <c r="G54" s="46">
        <v>26</v>
      </c>
      <c r="H54" s="47">
        <v>0</v>
      </c>
      <c r="I54" s="51">
        <f t="shared" si="0"/>
        <v>0</v>
      </c>
      <c r="J54" s="48">
        <v>0</v>
      </c>
      <c r="K54" s="48">
        <v>0</v>
      </c>
      <c r="L54" s="48">
        <v>0</v>
      </c>
      <c r="M54" s="48">
        <v>0</v>
      </c>
      <c r="N54" s="52">
        <f t="shared" si="1"/>
        <v>0</v>
      </c>
      <c r="O54" s="136">
        <v>0</v>
      </c>
      <c r="P54" s="48">
        <v>0</v>
      </c>
      <c r="Q54" s="48">
        <v>0</v>
      </c>
      <c r="R54" s="52">
        <v>0</v>
      </c>
      <c r="S54" s="137">
        <f t="shared" si="2"/>
        <v>0</v>
      </c>
      <c r="T54" s="132"/>
    </row>
    <row r="55" ht="45.65" customHeight="1" hidden="1" spans="1:20" x14ac:dyDescent="0.25">
      <c r="A55" s="41">
        <v>52</v>
      </c>
      <c r="B55" s="43"/>
      <c r="C55" s="135"/>
      <c r="D55" s="44"/>
      <c r="E55" s="135"/>
      <c r="F55" s="58"/>
      <c r="G55" s="46">
        <v>26</v>
      </c>
      <c r="H55" s="47">
        <v>0</v>
      </c>
      <c r="I55" s="51">
        <f t="shared" si="0"/>
        <v>0</v>
      </c>
      <c r="J55" s="48">
        <v>0</v>
      </c>
      <c r="K55" s="48">
        <v>0</v>
      </c>
      <c r="L55" s="48">
        <v>0</v>
      </c>
      <c r="M55" s="48">
        <v>0</v>
      </c>
      <c r="N55" s="52">
        <f t="shared" si="1"/>
        <v>0</v>
      </c>
      <c r="O55" s="136">
        <v>0</v>
      </c>
      <c r="P55" s="48">
        <v>0</v>
      </c>
      <c r="Q55" s="48">
        <v>0</v>
      </c>
      <c r="R55" s="52">
        <v>0</v>
      </c>
      <c r="S55" s="137">
        <f t="shared" si="2"/>
        <v>0</v>
      </c>
      <c r="T55" s="132"/>
    </row>
    <row r="56" ht="45.65" customHeight="1" hidden="1" spans="1:20" x14ac:dyDescent="0.25">
      <c r="A56" s="26">
        <v>53</v>
      </c>
      <c r="B56" s="43"/>
      <c r="C56" s="135"/>
      <c r="D56" s="44"/>
      <c r="E56" s="135"/>
      <c r="F56" s="58"/>
      <c r="G56" s="46">
        <v>26</v>
      </c>
      <c r="H56" s="47">
        <v>0</v>
      </c>
      <c r="I56" s="51">
        <f t="shared" si="0"/>
        <v>0</v>
      </c>
      <c r="J56" s="48">
        <v>0</v>
      </c>
      <c r="K56" s="48">
        <v>0</v>
      </c>
      <c r="L56" s="48">
        <v>0</v>
      </c>
      <c r="M56" s="48">
        <v>0</v>
      </c>
      <c r="N56" s="52">
        <f t="shared" si="1"/>
        <v>0</v>
      </c>
      <c r="O56" s="136">
        <v>0</v>
      </c>
      <c r="P56" s="48">
        <v>0</v>
      </c>
      <c r="Q56" s="48">
        <v>0</v>
      </c>
      <c r="R56" s="52">
        <v>0</v>
      </c>
      <c r="S56" s="137">
        <f t="shared" si="2"/>
        <v>0</v>
      </c>
      <c r="T56" s="132"/>
    </row>
    <row r="57" ht="45.65" customHeight="1" hidden="1" spans="1:20" x14ac:dyDescent="0.25">
      <c r="A57" s="41">
        <v>54</v>
      </c>
      <c r="B57" s="43"/>
      <c r="C57" s="135"/>
      <c r="D57" s="44"/>
      <c r="E57" s="135"/>
      <c r="F57" s="58"/>
      <c r="G57" s="46">
        <v>26</v>
      </c>
      <c r="H57" s="47">
        <v>0</v>
      </c>
      <c r="I57" s="51">
        <f t="shared" si="0"/>
        <v>0</v>
      </c>
      <c r="J57" s="48">
        <v>0</v>
      </c>
      <c r="K57" s="48">
        <v>0</v>
      </c>
      <c r="L57" s="48">
        <v>0</v>
      </c>
      <c r="M57" s="48">
        <v>0</v>
      </c>
      <c r="N57" s="52">
        <f t="shared" si="1"/>
        <v>0</v>
      </c>
      <c r="O57" s="136">
        <v>0</v>
      </c>
      <c r="P57" s="48">
        <v>0</v>
      </c>
      <c r="Q57" s="48">
        <v>0</v>
      </c>
      <c r="R57" s="52">
        <v>0</v>
      </c>
      <c r="S57" s="137">
        <f t="shared" si="2"/>
        <v>0</v>
      </c>
      <c r="T57" s="132"/>
    </row>
    <row r="58" ht="45.65" customHeight="1" hidden="1" spans="1:20" x14ac:dyDescent="0.25">
      <c r="A58" s="26">
        <v>55</v>
      </c>
      <c r="B58" s="43"/>
      <c r="C58" s="135"/>
      <c r="D58" s="44"/>
      <c r="E58" s="135"/>
      <c r="F58" s="58"/>
      <c r="G58" s="46">
        <v>26</v>
      </c>
      <c r="H58" s="47">
        <v>0</v>
      </c>
      <c r="I58" s="51">
        <f t="shared" si="0"/>
        <v>0</v>
      </c>
      <c r="J58" s="48">
        <v>0</v>
      </c>
      <c r="K58" s="48">
        <v>0</v>
      </c>
      <c r="L58" s="48">
        <v>0</v>
      </c>
      <c r="M58" s="48">
        <v>0</v>
      </c>
      <c r="N58" s="52">
        <f t="shared" si="1"/>
        <v>0</v>
      </c>
      <c r="O58" s="136">
        <v>0</v>
      </c>
      <c r="P58" s="48">
        <v>0</v>
      </c>
      <c r="Q58" s="48">
        <v>0</v>
      </c>
      <c r="R58" s="52">
        <v>0</v>
      </c>
      <c r="S58" s="137">
        <f t="shared" si="2"/>
        <v>0</v>
      </c>
      <c r="T58" s="132"/>
    </row>
    <row r="59" ht="45.65" customHeight="1" hidden="1" spans="1:20" x14ac:dyDescent="0.25">
      <c r="A59" s="41">
        <v>56</v>
      </c>
      <c r="B59" s="43"/>
      <c r="C59" s="135"/>
      <c r="D59" s="44"/>
      <c r="E59" s="135"/>
      <c r="F59" s="58"/>
      <c r="G59" s="46">
        <v>26</v>
      </c>
      <c r="H59" s="47">
        <v>0</v>
      </c>
      <c r="I59" s="51">
        <f t="shared" si="0"/>
        <v>0</v>
      </c>
      <c r="J59" s="48">
        <v>0</v>
      </c>
      <c r="K59" s="48">
        <v>0</v>
      </c>
      <c r="L59" s="48">
        <v>0</v>
      </c>
      <c r="M59" s="48">
        <v>0</v>
      </c>
      <c r="N59" s="52">
        <f t="shared" si="1"/>
        <v>0</v>
      </c>
      <c r="O59" s="136">
        <v>0</v>
      </c>
      <c r="P59" s="48">
        <v>0</v>
      </c>
      <c r="Q59" s="48">
        <v>0</v>
      </c>
      <c r="R59" s="52">
        <v>0</v>
      </c>
      <c r="S59" s="137">
        <f t="shared" si="2"/>
        <v>0</v>
      </c>
      <c r="T59" s="132"/>
    </row>
    <row r="60" ht="45.65" customHeight="1" hidden="1" spans="1:20" x14ac:dyDescent="0.25">
      <c r="A60" s="26">
        <v>57</v>
      </c>
      <c r="B60" s="43"/>
      <c r="C60" s="135"/>
      <c r="D60" s="44"/>
      <c r="E60" s="135"/>
      <c r="F60" s="58"/>
      <c r="G60" s="46">
        <v>26</v>
      </c>
      <c r="H60" s="47">
        <v>0</v>
      </c>
      <c r="I60" s="51">
        <f t="shared" si="0"/>
        <v>0</v>
      </c>
      <c r="J60" s="48">
        <v>0</v>
      </c>
      <c r="K60" s="48">
        <v>0</v>
      </c>
      <c r="L60" s="48">
        <v>0</v>
      </c>
      <c r="M60" s="48">
        <v>0</v>
      </c>
      <c r="N60" s="52">
        <f t="shared" si="1"/>
        <v>0</v>
      </c>
      <c r="O60" s="136">
        <v>0</v>
      </c>
      <c r="P60" s="48">
        <v>0</v>
      </c>
      <c r="Q60" s="48">
        <v>0</v>
      </c>
      <c r="R60" s="52">
        <v>0</v>
      </c>
      <c r="S60" s="137">
        <f t="shared" si="2"/>
        <v>0</v>
      </c>
      <c r="T60" s="132"/>
    </row>
    <row r="61" ht="45.65" customHeight="1" hidden="1" spans="1:20" x14ac:dyDescent="0.25">
      <c r="A61" s="41">
        <v>58</v>
      </c>
      <c r="B61" s="43"/>
      <c r="C61" s="135"/>
      <c r="D61" s="44"/>
      <c r="E61" s="135"/>
      <c r="F61" s="58"/>
      <c r="G61" s="46">
        <v>26</v>
      </c>
      <c r="H61" s="47">
        <v>0</v>
      </c>
      <c r="I61" s="51">
        <f t="shared" si="0"/>
        <v>0</v>
      </c>
      <c r="J61" s="48">
        <v>0</v>
      </c>
      <c r="K61" s="48">
        <v>0</v>
      </c>
      <c r="L61" s="48">
        <v>0</v>
      </c>
      <c r="M61" s="48">
        <v>0</v>
      </c>
      <c r="N61" s="52">
        <f t="shared" si="1"/>
        <v>0</v>
      </c>
      <c r="O61" s="136">
        <v>0</v>
      </c>
      <c r="P61" s="48">
        <v>0</v>
      </c>
      <c r="Q61" s="48">
        <v>0</v>
      </c>
      <c r="R61" s="52">
        <v>0</v>
      </c>
      <c r="S61" s="137">
        <f t="shared" si="2"/>
        <v>0</v>
      </c>
      <c r="T61" s="131"/>
    </row>
    <row r="62" ht="45.65" customHeight="1" hidden="1" spans="1:20" x14ac:dyDescent="0.25">
      <c r="A62" s="26">
        <v>59</v>
      </c>
      <c r="B62" s="43"/>
      <c r="C62" s="135"/>
      <c r="D62" s="44"/>
      <c r="E62" s="135"/>
      <c r="F62" s="58"/>
      <c r="G62" s="46">
        <v>26</v>
      </c>
      <c r="H62" s="47">
        <v>0</v>
      </c>
      <c r="I62" s="51">
        <f t="shared" si="0"/>
        <v>0</v>
      </c>
      <c r="J62" s="48">
        <v>0</v>
      </c>
      <c r="K62" s="48">
        <v>0</v>
      </c>
      <c r="L62" s="48">
        <v>0</v>
      </c>
      <c r="M62" s="48">
        <v>0</v>
      </c>
      <c r="N62" s="52">
        <f t="shared" si="1"/>
        <v>0</v>
      </c>
      <c r="O62" s="136">
        <v>0</v>
      </c>
      <c r="P62" s="48">
        <v>0</v>
      </c>
      <c r="Q62" s="48">
        <v>0</v>
      </c>
      <c r="R62" s="52">
        <v>0</v>
      </c>
      <c r="S62" s="137">
        <f t="shared" si="2"/>
        <v>0</v>
      </c>
      <c r="T62" s="128"/>
    </row>
    <row r="63" ht="45.65" customHeight="1" hidden="1" spans="1:20" x14ac:dyDescent="0.25">
      <c r="A63" s="41">
        <v>60</v>
      </c>
      <c r="B63" s="43"/>
      <c r="C63" s="135"/>
      <c r="D63" s="44"/>
      <c r="E63" s="135"/>
      <c r="F63" s="58"/>
      <c r="G63" s="46">
        <v>26</v>
      </c>
      <c r="H63" s="47">
        <v>0</v>
      </c>
      <c r="I63" s="51">
        <f t="shared" si="0"/>
        <v>0</v>
      </c>
      <c r="J63" s="48">
        <v>0</v>
      </c>
      <c r="K63" s="48">
        <v>0</v>
      </c>
      <c r="L63" s="48">
        <v>0</v>
      </c>
      <c r="M63" s="48">
        <v>0</v>
      </c>
      <c r="N63" s="52">
        <f t="shared" si="1"/>
        <v>0</v>
      </c>
      <c r="O63" s="136">
        <v>0</v>
      </c>
      <c r="P63" s="48">
        <v>0</v>
      </c>
      <c r="Q63" s="48">
        <v>0</v>
      </c>
      <c r="R63" s="52">
        <v>0</v>
      </c>
      <c r="S63" s="137">
        <f t="shared" si="2"/>
        <v>0</v>
      </c>
      <c r="T63" s="128"/>
    </row>
    <row r="64" ht="45.65" customHeight="1" hidden="1" spans="1:20" x14ac:dyDescent="0.25">
      <c r="A64" s="26">
        <v>61</v>
      </c>
      <c r="B64" s="43"/>
      <c r="C64" s="135"/>
      <c r="D64" s="44"/>
      <c r="E64" s="135"/>
      <c r="F64" s="58"/>
      <c r="G64" s="46">
        <v>26</v>
      </c>
      <c r="H64" s="47">
        <v>0</v>
      </c>
      <c r="I64" s="51">
        <f t="shared" si="0"/>
        <v>0</v>
      </c>
      <c r="J64" s="48">
        <v>0</v>
      </c>
      <c r="K64" s="48">
        <v>0</v>
      </c>
      <c r="L64" s="48">
        <v>0</v>
      </c>
      <c r="M64" s="48">
        <v>0</v>
      </c>
      <c r="N64" s="52">
        <f t="shared" si="1"/>
        <v>0</v>
      </c>
      <c r="O64" s="136">
        <v>0</v>
      </c>
      <c r="P64" s="48">
        <v>0</v>
      </c>
      <c r="Q64" s="48">
        <v>0</v>
      </c>
      <c r="R64" s="52">
        <v>0</v>
      </c>
      <c r="S64" s="137">
        <f t="shared" si="2"/>
        <v>0</v>
      </c>
      <c r="T64" s="128"/>
    </row>
    <row r="65" ht="45.65" customHeight="1" hidden="1" spans="1:20" x14ac:dyDescent="0.25">
      <c r="A65" s="41">
        <v>62</v>
      </c>
      <c r="B65" s="80"/>
      <c r="C65" s="138"/>
      <c r="D65" s="81"/>
      <c r="E65" s="138"/>
      <c r="F65" s="139"/>
      <c r="G65" s="83">
        <v>26</v>
      </c>
      <c r="H65" s="84">
        <v>0</v>
      </c>
      <c r="I65" s="85">
        <f t="shared" si="0"/>
        <v>0</v>
      </c>
      <c r="J65" s="86">
        <v>0</v>
      </c>
      <c r="K65" s="86">
        <v>0</v>
      </c>
      <c r="L65" s="86">
        <v>0</v>
      </c>
      <c r="M65" s="86">
        <v>0</v>
      </c>
      <c r="N65" s="89">
        <f t="shared" si="1"/>
        <v>0</v>
      </c>
      <c r="O65" s="140">
        <v>0</v>
      </c>
      <c r="P65" s="86">
        <v>0</v>
      </c>
      <c r="Q65" s="86">
        <v>0</v>
      </c>
      <c r="R65" s="89">
        <v>0</v>
      </c>
      <c r="S65" s="141">
        <f t="shared" si="2"/>
        <v>0</v>
      </c>
      <c r="T65" s="166"/>
    </row>
    <row r="66" ht="50.15" customHeight="1" spans="1:20" x14ac:dyDescent="0.25">
      <c r="A66" s="143" t="s">
        <v>26</v>
      </c>
      <c r="B66" s="144"/>
      <c r="C66" s="144"/>
      <c r="D66" s="144"/>
      <c r="E66" s="144"/>
      <c r="F66" s="144"/>
      <c r="G66" s="144"/>
      <c r="H66" s="145"/>
      <c r="I66" s="146">
        <f t="shared" ref="I66:S66" si="4">SUM(I6:I65)</f>
        <v>14816.9</v>
      </c>
      <c r="J66" s="146">
        <f t="shared" si="4"/>
        <v>0</v>
      </c>
      <c r="K66" s="271">
        <f t="shared" si="4"/>
        <v>0</v>
      </c>
      <c r="L66" s="146">
        <f t="shared" si="4"/>
        <v>0</v>
      </c>
      <c r="M66" s="146">
        <f t="shared" si="4"/>
        <v>0</v>
      </c>
      <c r="N66" s="146">
        <f t="shared" si="4"/>
        <v>14816.9</v>
      </c>
      <c r="O66" s="146">
        <f t="shared" si="4"/>
        <v>0</v>
      </c>
      <c r="P66" s="146">
        <f t="shared" si="4"/>
        <v>0</v>
      </c>
      <c r="Q66" s="146">
        <f t="shared" si="4"/>
        <v>0</v>
      </c>
      <c r="R66" s="146">
        <f t="shared" si="4"/>
        <v>0</v>
      </c>
      <c r="S66" s="146">
        <f t="shared" si="4"/>
        <v>14816.9</v>
      </c>
      <c r="T66" s="272"/>
    </row>
  </sheetData>
  <mergeCells count="18">
    <mergeCell ref="A1:T1"/>
    <mergeCell ref="A2:T2"/>
    <mergeCell ref="A3:T3"/>
    <mergeCell ref="I4:N4"/>
    <mergeCell ref="O4:R4"/>
    <mergeCell ref="A4:A5"/>
    <mergeCell ref="B4:B5"/>
    <mergeCell ref="C4:C5"/>
    <mergeCell ref="D4:D5"/>
    <mergeCell ref="E4:E5"/>
    <mergeCell ref="F4:F5"/>
    <mergeCell ref="G4:G5"/>
    <mergeCell ref="H4:H5"/>
    <mergeCell ref="S4:S5"/>
    <mergeCell ref="T4:T5"/>
    <mergeCell ref="V4:V5"/>
    <mergeCell ref="W4:W5"/>
    <mergeCell ref="A66:H66"/>
  </mergeCells>
  <conditionalFormatting sqref="C6:C65"/>
  <pageMargins left="0.7" right="0.7" top="0.75" bottom="0.75" header="0.3" footer="0.3"/>
  <pageSetup paperSize="9" orientation="portrait" horizontalDpi="4294967295" verticalDpi="4294967295" scale="3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workbookViewId="0" zoomScale="60" zoomScaleNormal="60">
      <pane ySplit="5" topLeftCell="A6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1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</row>
    <row r="6" ht="45.65" customHeight="1" spans="1:24" x14ac:dyDescent="0.25">
      <c r="A6" s="121">
        <v>1</v>
      </c>
      <c r="B6" s="122"/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1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</row>
    <row r="7" ht="45.65" customHeight="1" spans="1:24" x14ac:dyDescent="0.25">
      <c r="A7" s="121">
        <v>2</v>
      </c>
      <c r="B7" s="122"/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1" si="1">J7+K7+L7+M7+N7</f>
        <v>150</v>
      </c>
      <c r="P7" s="126">
        <v>0</v>
      </c>
      <c r="Q7" s="126">
        <v>5.769230769230769</v>
      </c>
      <c r="R7" s="126">
        <v>0</v>
      </c>
      <c r="S7" s="126">
        <v>0</v>
      </c>
      <c r="T7" s="127">
        <f>O7-P7-Q7-R7-S7</f>
        <v>144.23076923076923</v>
      </c>
      <c r="U7" s="128"/>
      <c r="V7" t="s">
        <v>205</v>
      </c>
      <c r="W7" s="128"/>
      <c r="X7" s="128"/>
    </row>
    <row r="8" ht="45.65" customHeight="1" spans="1:24" x14ac:dyDescent="0.25">
      <c r="A8" s="131"/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0.9855769230769231</v>
      </c>
      <c r="R8" s="126">
        <v>0</v>
      </c>
      <c r="S8" s="126">
        <v>0</v>
      </c>
      <c r="T8" s="127">
        <f t="shared" ref="T8:T61" si="2">O8-P8-Q8-R8-S8</f>
        <v>409.0144230769231</v>
      </c>
      <c r="U8" s="131"/>
      <c r="V8" t="s">
        <v>207</v>
      </c>
      <c r="X8" s="131"/>
    </row>
    <row r="9" ht="45.65" customHeight="1" spans="1:24" x14ac:dyDescent="0.25">
      <c r="A9" s="121">
        <v>4</v>
      </c>
      <c r="B9" s="122"/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255.00000000000003</v>
      </c>
      <c r="U9" s="132"/>
      <c r="V9" t="s">
        <v>205</v>
      </c>
      <c r="W9" s="132"/>
      <c r="X9" s="132"/>
    </row>
    <row r="10" ht="45.65" customHeight="1" spans="1:24" x14ac:dyDescent="0.25">
      <c r="A10" s="121">
        <v>5</v>
      </c>
      <c r="B10" s="122"/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  <c r="V10" t="s">
        <v>205</v>
      </c>
      <c r="W10" s="132"/>
      <c r="X10" s="132"/>
    </row>
    <row r="11" ht="45.65" customHeight="1" spans="1:24" x14ac:dyDescent="0.25">
      <c r="A11" s="121">
        <v>6</v>
      </c>
      <c r="B11" s="122"/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2.0673076923076925</v>
      </c>
      <c r="R11" s="126">
        <v>0</v>
      </c>
      <c r="S11" s="126">
        <v>0</v>
      </c>
      <c r="T11" s="127">
        <f t="shared" si="2"/>
        <v>427.9326923076924</v>
      </c>
      <c r="U11" s="132"/>
      <c r="V11" t="s">
        <v>205</v>
      </c>
      <c r="W11" s="132"/>
      <c r="X11" s="132"/>
    </row>
    <row r="12" ht="45.65" customHeight="1" spans="1:24" x14ac:dyDescent="0.25">
      <c r="A12" s="121"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32"/>
      <c r="V12" t="s">
        <v>207</v>
      </c>
      <c r="W12" s="132"/>
      <c r="X12" s="132"/>
    </row>
    <row r="13" ht="45.65" customHeight="1" spans="1:24" x14ac:dyDescent="0.25">
      <c r="A13" s="121"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330</v>
      </c>
      <c r="U13" s="132"/>
      <c r="V13" t="s">
        <v>207</v>
      </c>
      <c r="W13" s="132"/>
      <c r="X13" s="132"/>
    </row>
    <row r="14" ht="45.65" customHeight="1" spans="1:24" x14ac:dyDescent="0.25">
      <c r="A14" s="121">
        <v>9</v>
      </c>
      <c r="B14" s="122"/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480</v>
      </c>
      <c r="H14" s="125">
        <v>26</v>
      </c>
      <c r="I14" s="125">
        <v>0</v>
      </c>
      <c r="J14" s="126">
        <f t="shared" si="0"/>
        <v>479.99999999999994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479.99999999999994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479.99999999999994</v>
      </c>
      <c r="U14" s="132"/>
      <c r="V14" t="s">
        <v>205</v>
      </c>
      <c r="W14" s="132"/>
      <c r="X14" s="132"/>
    </row>
    <row r="15" ht="45.65" customHeight="1" spans="1:24" x14ac:dyDescent="0.25">
      <c r="A15" s="121"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200</v>
      </c>
      <c r="U15" s="132"/>
      <c r="V15" t="s">
        <v>207</v>
      </c>
      <c r="W15" s="132"/>
      <c r="X15" s="132"/>
    </row>
    <row r="16" ht="45.65" customHeight="1" spans="1:24" x14ac:dyDescent="0.25">
      <c r="A16" s="121"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430.00000000000006</v>
      </c>
      <c r="U16" s="132"/>
      <c r="V16" t="s">
        <v>207</v>
      </c>
      <c r="W16" s="132"/>
      <c r="X16" s="132"/>
    </row>
    <row r="17" ht="45.65" customHeight="1" spans="1:24" x14ac:dyDescent="0.25">
      <c r="A17" s="121"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2"/>
        <v>400</v>
      </c>
      <c r="U17" s="132"/>
      <c r="V17" t="s">
        <v>207</v>
      </c>
      <c r="W17" s="132"/>
      <c r="X17" s="132"/>
    </row>
    <row r="18" ht="45.65" customHeight="1" spans="1:24" x14ac:dyDescent="0.25">
      <c r="A18" s="121"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600</v>
      </c>
      <c r="U18" s="132"/>
      <c r="V18" t="s">
        <v>207</v>
      </c>
      <c r="W18" s="132"/>
      <c r="X18" s="132"/>
    </row>
    <row r="19" ht="45.65" customHeight="1" spans="1:24" x14ac:dyDescent="0.25">
      <c r="A19" s="121">
        <v>14</v>
      </c>
      <c r="B19" s="122" t="s">
        <v>215</v>
      </c>
      <c r="C19" s="123" t="s">
        <v>187</v>
      </c>
      <c r="D19" s="124" t="s">
        <v>116</v>
      </c>
      <c r="E19" s="124" t="s">
        <v>98</v>
      </c>
      <c r="F19" s="123" t="s">
        <v>127</v>
      </c>
      <c r="G19" s="122">
        <v>350</v>
      </c>
      <c r="H19" s="125">
        <v>26</v>
      </c>
      <c r="I19" s="125">
        <v>0</v>
      </c>
      <c r="J19" s="126">
        <f t="shared" si="0"/>
        <v>350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350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350</v>
      </c>
      <c r="U19" s="132"/>
      <c r="V19" t="s">
        <v>207</v>
      </c>
      <c r="W19" s="132"/>
      <c r="X19" s="132"/>
    </row>
    <row r="20" ht="45.65" customHeight="1" spans="1:24" x14ac:dyDescent="0.25">
      <c r="A20" s="121"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2"/>
        <v>250</v>
      </c>
      <c r="U20" s="132"/>
      <c r="V20" t="s">
        <v>207</v>
      </c>
      <c r="W20" s="133"/>
      <c r="X20" s="134"/>
    </row>
    <row r="21" ht="45.65" customHeight="1" spans="1:24" x14ac:dyDescent="0.25">
      <c r="A21" s="121">
        <v>16</v>
      </c>
      <c r="B21" s="122"/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2"/>
        <v>100</v>
      </c>
      <c r="U21" s="132"/>
      <c r="V21" t="s">
        <v>205</v>
      </c>
      <c r="W21" s="132"/>
      <c r="X21" s="132"/>
    </row>
    <row r="22" ht="45.65" customHeight="1" spans="1:24" x14ac:dyDescent="0.25">
      <c r="A22" s="121">
        <v>17</v>
      </c>
      <c r="B22" s="122"/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2"/>
        <v>400</v>
      </c>
      <c r="U22" s="132"/>
      <c r="V22" t="s">
        <v>205</v>
      </c>
      <c r="W22" s="132"/>
      <c r="X22" s="132"/>
    </row>
    <row r="23" ht="45.65" customHeight="1" spans="1:24" x14ac:dyDescent="0.25">
      <c r="A23" s="121"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2.307692307692308</v>
      </c>
      <c r="R23" s="126">
        <v>0</v>
      </c>
      <c r="S23" s="126">
        <v>0</v>
      </c>
      <c r="T23" s="127">
        <f t="shared" si="2"/>
        <v>297.6923076923077</v>
      </c>
      <c r="U23" s="132"/>
      <c r="V23" t="s">
        <v>207</v>
      </c>
      <c r="W23" s="132"/>
      <c r="X23" s="132"/>
    </row>
    <row r="24" ht="45.65" customHeight="1" spans="1:24" x14ac:dyDescent="0.25">
      <c r="A24" s="121">
        <v>19</v>
      </c>
      <c r="B24" s="122"/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50</v>
      </c>
      <c r="U24" s="132"/>
      <c r="V24" t="s">
        <v>205</v>
      </c>
      <c r="W24" s="132"/>
      <c r="X24" s="132"/>
    </row>
    <row r="25" ht="45.65" customHeight="1" spans="1:24" x14ac:dyDescent="0.25">
      <c r="A25" s="121">
        <v>20</v>
      </c>
      <c r="B25" s="122"/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2"/>
        <v>150</v>
      </c>
      <c r="U25" s="132"/>
      <c r="V25" t="s">
        <v>205</v>
      </c>
      <c r="W25" s="132"/>
      <c r="X25" s="132"/>
    </row>
    <row r="26" ht="45.65" customHeight="1" spans="1:24" x14ac:dyDescent="0.25">
      <c r="A26" s="121">
        <v>21</v>
      </c>
      <c r="B26" s="122" t="s">
        <v>219</v>
      </c>
      <c r="C26" s="123" t="s">
        <v>220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150</v>
      </c>
      <c r="U26" s="132"/>
      <c r="V26" t="s">
        <v>207</v>
      </c>
      <c r="W26" s="132"/>
      <c r="X26" s="132"/>
    </row>
    <row r="27" ht="45.65" customHeight="1" spans="1:24" x14ac:dyDescent="0.25">
      <c r="A27" s="121">
        <v>22</v>
      </c>
      <c r="B27" s="122" t="s">
        <v>221</v>
      </c>
      <c r="C27" s="123" t="s">
        <v>222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150</v>
      </c>
      <c r="U27" s="132"/>
      <c r="V27" t="s">
        <v>207</v>
      </c>
      <c r="W27" s="132"/>
      <c r="X27" s="132"/>
    </row>
    <row r="28" ht="45.65" customHeight="1" spans="1:24" x14ac:dyDescent="0.25">
      <c r="A28" s="121">
        <v>23</v>
      </c>
      <c r="B28" s="122"/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100</v>
      </c>
      <c r="U28" s="132"/>
      <c r="V28" t="s">
        <v>205</v>
      </c>
      <c r="W28" s="132"/>
      <c r="X28" s="132"/>
    </row>
    <row r="29" ht="45.65" customHeight="1" spans="1:24" x14ac:dyDescent="0.25">
      <c r="A29" s="121">
        <v>24</v>
      </c>
      <c r="B29" s="122"/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80</v>
      </c>
      <c r="U29" s="132"/>
      <c r="V29" t="s">
        <v>205</v>
      </c>
      <c r="W29" s="132"/>
      <c r="X29" s="132"/>
    </row>
    <row r="30" ht="45.65" customHeight="1" spans="1:24" x14ac:dyDescent="0.25">
      <c r="A30" s="121">
        <v>25</v>
      </c>
      <c r="B30" s="122"/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150</v>
      </c>
      <c r="U30" s="132"/>
      <c r="V30" t="s">
        <v>205</v>
      </c>
      <c r="W30" s="132"/>
      <c r="X30" s="132"/>
    </row>
    <row r="31" ht="45.65" customHeight="1" spans="1:24" x14ac:dyDescent="0.25">
      <c r="A31" s="121">
        <v>26</v>
      </c>
      <c r="B31" s="122" t="s">
        <v>223</v>
      </c>
      <c r="C31" s="123" t="s">
        <v>224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150</v>
      </c>
      <c r="U31" s="132"/>
      <c r="V31" t="s">
        <v>207</v>
      </c>
      <c r="W31" s="132"/>
      <c r="X31" s="132"/>
    </row>
    <row r="32" ht="45.65" customHeight="1" spans="1:24" x14ac:dyDescent="0.25">
      <c r="A32" s="121">
        <v>27</v>
      </c>
      <c r="B32" s="122"/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200</v>
      </c>
      <c r="U32" s="132"/>
      <c r="V32" t="s">
        <v>205</v>
      </c>
      <c r="W32" s="132"/>
      <c r="X32" s="132"/>
    </row>
    <row r="33" ht="45.65" customHeight="1" spans="1:24" x14ac:dyDescent="0.25">
      <c r="A33" s="121">
        <v>28</v>
      </c>
      <c r="B33" s="122"/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/>
      <c r="S33" s="126">
        <v>0</v>
      </c>
      <c r="T33" s="127">
        <f t="shared" si="2"/>
        <v>250</v>
      </c>
      <c r="U33" s="132"/>
      <c r="V33" t="s">
        <v>205</v>
      </c>
      <c r="W33" s="132"/>
      <c r="X33" s="134"/>
    </row>
    <row r="34" ht="45.65" customHeight="1" spans="1:24" x14ac:dyDescent="0.25">
      <c r="A34" s="121">
        <v>29</v>
      </c>
      <c r="B34" s="122" t="s">
        <v>225</v>
      </c>
      <c r="C34" s="123" t="s">
        <v>189</v>
      </c>
      <c r="D34" s="124" t="s">
        <v>97</v>
      </c>
      <c r="E34" s="124" t="s">
        <v>98</v>
      </c>
      <c r="F34" s="123" t="s">
        <v>151</v>
      </c>
      <c r="G34" s="122">
        <v>384.23</v>
      </c>
      <c r="H34" s="125">
        <v>26</v>
      </c>
      <c r="I34" s="125">
        <v>0</v>
      </c>
      <c r="J34" s="126">
        <f t="shared" si="0"/>
        <v>384.23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384.23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384.23</v>
      </c>
      <c r="U34" s="132"/>
      <c r="V34" t="s">
        <v>207</v>
      </c>
      <c r="W34" s="132"/>
      <c r="X34" s="132"/>
    </row>
    <row r="35" ht="45.65" customHeight="1" spans="1:24" x14ac:dyDescent="0.25">
      <c r="A35" s="121">
        <v>30</v>
      </c>
      <c r="B35" s="122" t="s">
        <v>226</v>
      </c>
      <c r="C35" s="123" t="s">
        <v>190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270</v>
      </c>
      <c r="U35" s="132"/>
      <c r="V35" t="s">
        <v>207</v>
      </c>
      <c r="W35" s="132"/>
      <c r="X35" s="132"/>
    </row>
    <row r="36" ht="45.65" customHeight="1" spans="1:24" x14ac:dyDescent="0.25">
      <c r="A36" s="121">
        <v>31</v>
      </c>
      <c r="B36" s="122"/>
      <c r="C36" s="123" t="s">
        <v>154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280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280</v>
      </c>
      <c r="U36" s="132"/>
      <c r="V36" t="s">
        <v>205</v>
      </c>
      <c r="W36" s="132"/>
      <c r="X36" s="132"/>
    </row>
    <row r="37" ht="45.65" customHeight="1" spans="1:24" x14ac:dyDescent="0.25">
      <c r="A37" s="121">
        <v>32</v>
      </c>
      <c r="B37" s="122"/>
      <c r="C37" s="123" t="s">
        <v>155</v>
      </c>
      <c r="D37" s="124" t="s">
        <v>97</v>
      </c>
      <c r="E37" s="124" t="s">
        <v>156</v>
      </c>
      <c r="F37" s="123" t="s">
        <v>157</v>
      </c>
      <c r="G37" s="122">
        <v>200</v>
      </c>
      <c r="H37" s="125">
        <v>26</v>
      </c>
      <c r="I37" s="125">
        <v>0</v>
      </c>
      <c r="J37" s="126">
        <f t="shared" si="0"/>
        <v>200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200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200</v>
      </c>
      <c r="U37" s="132"/>
      <c r="V37" t="s">
        <v>205</v>
      </c>
      <c r="W37" s="132"/>
      <c r="X37" s="132"/>
    </row>
    <row r="38" ht="45.65" customHeight="1" spans="1:24" x14ac:dyDescent="0.25">
      <c r="A38" s="121">
        <v>33</v>
      </c>
      <c r="B38" s="122" t="s">
        <v>227</v>
      </c>
      <c r="C38" s="123" t="s">
        <v>191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2"/>
        <v>400</v>
      </c>
      <c r="U38" s="132" t="s">
        <v>57</v>
      </c>
      <c r="V38" t="s">
        <v>207</v>
      </c>
      <c r="W38" s="132">
        <v>600</v>
      </c>
      <c r="X38" s="134">
        <v>-200</v>
      </c>
    </row>
    <row r="39" ht="45.65" customHeight="1" spans="1:24" x14ac:dyDescent="0.25">
      <c r="A39" s="121">
        <v>34</v>
      </c>
      <c r="B39" s="122" t="s">
        <v>228</v>
      </c>
      <c r="C39" s="123" t="s">
        <v>159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26</v>
      </c>
      <c r="I39" s="125">
        <v>0</v>
      </c>
      <c r="J39" s="126">
        <f t="shared" si="0"/>
        <v>450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450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2"/>
        <v>450</v>
      </c>
      <c r="U39" s="132"/>
      <c r="V39" t="s">
        <v>207</v>
      </c>
      <c r="W39" s="132"/>
      <c r="X39" s="132"/>
    </row>
    <row r="40" ht="45.65" customHeight="1" spans="1:24" x14ac:dyDescent="0.25">
      <c r="A40" s="121">
        <v>35</v>
      </c>
      <c r="B40" s="122" t="s">
        <v>229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2"/>
        <v>550</v>
      </c>
      <c r="U40" s="132"/>
      <c r="V40" t="s">
        <v>207</v>
      </c>
      <c r="W40" s="132"/>
      <c r="X40" s="132"/>
    </row>
    <row r="41" ht="45.65" customHeight="1" spans="1:24" x14ac:dyDescent="0.25">
      <c r="A41" s="121">
        <v>36</v>
      </c>
      <c r="B41" s="122" t="s">
        <v>230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2"/>
        <v>450</v>
      </c>
      <c r="U41" s="132"/>
      <c r="V41" t="s">
        <v>207</v>
      </c>
      <c r="W41" s="132"/>
      <c r="X41" s="132"/>
    </row>
    <row r="42" ht="45.65" customHeight="1" spans="1:24" x14ac:dyDescent="0.25">
      <c r="A42" s="121">
        <v>37</v>
      </c>
      <c r="B42" s="122" t="s">
        <v>231</v>
      </c>
      <c r="C42" s="123" t="s">
        <v>232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0.960576923076923</v>
      </c>
      <c r="R42" s="126">
        <v>0</v>
      </c>
      <c r="S42" s="126">
        <v>0</v>
      </c>
      <c r="T42" s="127">
        <f t="shared" si="2"/>
        <v>449.0394230769231</v>
      </c>
      <c r="U42" s="132"/>
      <c r="V42" t="s">
        <v>207</v>
      </c>
      <c r="W42" s="132"/>
      <c r="X42" s="132"/>
    </row>
    <row r="43" ht="45.65" customHeight="1" spans="1:24" x14ac:dyDescent="0.25">
      <c r="A43" s="121">
        <v>38</v>
      </c>
      <c r="B43" s="122" t="s">
        <v>233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260</v>
      </c>
      <c r="U43" s="132"/>
      <c r="V43" t="s">
        <v>207</v>
      </c>
      <c r="W43" s="132"/>
      <c r="X43" s="132"/>
    </row>
    <row r="44" ht="45.65" customHeight="1" spans="1:24" x14ac:dyDescent="0.25">
      <c r="A44" s="121">
        <v>39</v>
      </c>
      <c r="B44" s="122"/>
      <c r="C44" s="123" t="s">
        <v>175</v>
      </c>
      <c r="D44" s="124" t="s">
        <v>97</v>
      </c>
      <c r="E44" s="124" t="s">
        <v>98</v>
      </c>
      <c r="F44" s="123" t="s">
        <v>59</v>
      </c>
      <c r="G44" s="122">
        <v>120</v>
      </c>
      <c r="H44" s="125">
        <v>26</v>
      </c>
      <c r="I44" s="125">
        <v>0</v>
      </c>
      <c r="J44" s="126">
        <f t="shared" si="0"/>
        <v>119.99999999999999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119.99999999999999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119.99999999999999</v>
      </c>
      <c r="U44" s="132"/>
      <c r="V44" t="s">
        <v>205</v>
      </c>
      <c r="W44" s="132"/>
      <c r="X44" s="132"/>
    </row>
    <row r="45" ht="45.65" customHeight="1" spans="1:24" x14ac:dyDescent="0.25">
      <c r="A45" s="121">
        <v>40</v>
      </c>
      <c r="B45" s="122"/>
      <c r="C45" s="123" t="s">
        <v>176</v>
      </c>
      <c r="D45" s="124" t="s">
        <v>177</v>
      </c>
      <c r="E45" s="124" t="s">
        <v>98</v>
      </c>
      <c r="F45" s="123" t="s">
        <v>178</v>
      </c>
      <c r="G45" s="122">
        <v>120</v>
      </c>
      <c r="H45" s="125">
        <v>26</v>
      </c>
      <c r="I45" s="125">
        <v>0</v>
      </c>
      <c r="J45" s="126">
        <f t="shared" si="0"/>
        <v>119.99999999999999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119.99999999999999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119.99999999999999</v>
      </c>
      <c r="U45" s="132"/>
      <c r="V45" t="s">
        <v>205</v>
      </c>
      <c r="W45" s="132"/>
      <c r="X45" s="134"/>
    </row>
    <row r="46" ht="45.65" customHeight="1" spans="1:24" x14ac:dyDescent="0.25">
      <c r="A46" s="121">
        <v>41</v>
      </c>
      <c r="B46" s="122"/>
      <c r="C46" s="123" t="s">
        <v>179</v>
      </c>
      <c r="D46" s="124" t="s">
        <v>177</v>
      </c>
      <c r="E46" s="124" t="s">
        <v>98</v>
      </c>
      <c r="F46" s="123" t="s">
        <v>180</v>
      </c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2"/>
        <v>80</v>
      </c>
      <c r="U46" s="132"/>
      <c r="V46" t="s">
        <v>205</v>
      </c>
      <c r="W46" s="132"/>
      <c r="X46" s="134"/>
    </row>
    <row r="47" ht="45.65" customHeight="1" spans="1:24" x14ac:dyDescent="0.25">
      <c r="A47" s="121">
        <v>42</v>
      </c>
      <c r="B47" s="122"/>
      <c r="C47" s="123" t="s">
        <v>181</v>
      </c>
      <c r="D47" s="124" t="s">
        <v>177</v>
      </c>
      <c r="E47" s="124" t="s">
        <v>98</v>
      </c>
      <c r="F47" s="123" t="s">
        <v>178</v>
      </c>
      <c r="G47" s="122">
        <v>240</v>
      </c>
      <c r="H47" s="125">
        <v>26</v>
      </c>
      <c r="I47" s="125">
        <v>0</v>
      </c>
      <c r="J47" s="126">
        <f t="shared" si="0"/>
        <v>239.99999999999997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239.99999999999997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2"/>
        <v>239.99999999999997</v>
      </c>
      <c r="U47" s="132"/>
      <c r="V47" t="s">
        <v>205</v>
      </c>
      <c r="W47" s="132"/>
      <c r="X47" s="134"/>
    </row>
    <row r="48" ht="45.65" customHeight="1" spans="1:24" x14ac:dyDescent="0.25">
      <c r="A48" s="121">
        <v>43</v>
      </c>
      <c r="B48" s="122"/>
      <c r="C48" s="123" t="s">
        <v>192</v>
      </c>
      <c r="D48" s="124" t="s">
        <v>177</v>
      </c>
      <c r="E48" s="124" t="s">
        <v>98</v>
      </c>
      <c r="F48" s="123" t="s">
        <v>178</v>
      </c>
      <c r="G48" s="122">
        <v>120</v>
      </c>
      <c r="H48" s="125">
        <v>26</v>
      </c>
      <c r="I48" s="125">
        <v>0</v>
      </c>
      <c r="J48" s="126">
        <f t="shared" si="0"/>
        <v>119.99999999999999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119.99999999999999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2"/>
        <v>119.99999999999999</v>
      </c>
      <c r="U48" s="132"/>
      <c r="V48" t="s">
        <v>205</v>
      </c>
      <c r="W48" s="132"/>
      <c r="X48" s="134"/>
    </row>
    <row r="49" ht="45.65" customHeight="1" spans="1:24" x14ac:dyDescent="0.25">
      <c r="A49" s="169">
        <v>44</v>
      </c>
      <c r="B49" s="122"/>
      <c r="C49" s="171" t="s">
        <v>193</v>
      </c>
      <c r="D49" s="172" t="s">
        <v>177</v>
      </c>
      <c r="E49" s="124" t="s">
        <v>98</v>
      </c>
      <c r="F49" s="171" t="s">
        <v>194</v>
      </c>
      <c r="G49" s="170">
        <v>100</v>
      </c>
      <c r="H49" s="173">
        <v>26</v>
      </c>
      <c r="I49" s="173">
        <v>0</v>
      </c>
      <c r="J49" s="174">
        <f t="shared" si="0"/>
        <v>100</v>
      </c>
      <c r="K49" s="174">
        <v>0</v>
      </c>
      <c r="L49" s="174">
        <v>0</v>
      </c>
      <c r="M49" s="174">
        <v>0</v>
      </c>
      <c r="N49" s="174">
        <v>0</v>
      </c>
      <c r="O49" s="174">
        <f t="shared" si="1"/>
        <v>100</v>
      </c>
      <c r="P49" s="174">
        <v>0</v>
      </c>
      <c r="Q49" s="174">
        <v>0</v>
      </c>
      <c r="R49" s="174">
        <v>0</v>
      </c>
      <c r="S49" s="174">
        <v>0</v>
      </c>
      <c r="T49" s="175">
        <f t="shared" si="2"/>
        <v>100</v>
      </c>
      <c r="U49" s="132"/>
      <c r="V49" t="s">
        <v>205</v>
      </c>
      <c r="W49" s="132"/>
      <c r="X49" s="134"/>
    </row>
    <row r="50" ht="45.65" customHeight="1" spans="1:24" x14ac:dyDescent="0.25">
      <c r="A50" s="176">
        <v>45</v>
      </c>
      <c r="B50" s="122"/>
      <c r="C50" s="178" t="s">
        <v>195</v>
      </c>
      <c r="D50" s="179" t="s">
        <v>109</v>
      </c>
      <c r="E50" s="124" t="s">
        <v>98</v>
      </c>
      <c r="F50" s="178" t="s">
        <v>196</v>
      </c>
      <c r="G50" s="177">
        <v>250</v>
      </c>
      <c r="H50" s="180">
        <v>26</v>
      </c>
      <c r="I50" s="180">
        <v>0</v>
      </c>
      <c r="J50" s="181">
        <f t="shared" si="0"/>
        <v>250</v>
      </c>
      <c r="K50" s="181">
        <v>0</v>
      </c>
      <c r="L50" s="181">
        <v>0</v>
      </c>
      <c r="M50" s="181">
        <v>0</v>
      </c>
      <c r="N50" s="181">
        <v>0</v>
      </c>
      <c r="O50" s="181">
        <f t="shared" si="1"/>
        <v>250</v>
      </c>
      <c r="P50" s="181">
        <v>0</v>
      </c>
      <c r="Q50" s="181">
        <v>0</v>
      </c>
      <c r="R50" s="181">
        <v>0</v>
      </c>
      <c r="S50" s="181">
        <v>0</v>
      </c>
      <c r="T50" s="182">
        <f t="shared" si="2"/>
        <v>250</v>
      </c>
      <c r="U50" s="132"/>
      <c r="V50" t="s">
        <v>205</v>
      </c>
      <c r="W50" s="132"/>
      <c r="X50" s="134"/>
    </row>
    <row r="51" ht="45.65" customHeight="1" spans="1:24" x14ac:dyDescent="0.25">
      <c r="A51" s="121">
        <v>46</v>
      </c>
      <c r="B51" s="122"/>
      <c r="C51" s="155" t="s">
        <v>197</v>
      </c>
      <c r="D51" s="154" t="s">
        <v>177</v>
      </c>
      <c r="E51" s="124" t="s">
        <v>98</v>
      </c>
      <c r="F51" s="155" t="s">
        <v>198</v>
      </c>
      <c r="G51" s="157">
        <v>80</v>
      </c>
      <c r="H51" s="125">
        <v>26</v>
      </c>
      <c r="I51" s="125">
        <v>0</v>
      </c>
      <c r="J51" s="126">
        <f t="shared" si="0"/>
        <v>80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80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80</v>
      </c>
      <c r="U51" s="132"/>
      <c r="V51" t="s">
        <v>205</v>
      </c>
      <c r="W51" s="132"/>
      <c r="X51" s="134"/>
    </row>
    <row r="52" ht="45.65" customHeight="1" spans="1:24" x14ac:dyDescent="0.25">
      <c r="A52" s="121">
        <v>47</v>
      </c>
      <c r="B52" s="122"/>
      <c r="C52" s="155" t="s">
        <v>199</v>
      </c>
      <c r="D52" s="154" t="s">
        <v>177</v>
      </c>
      <c r="E52" s="124" t="s">
        <v>98</v>
      </c>
      <c r="F52" s="155" t="s">
        <v>200</v>
      </c>
      <c r="G52" s="157">
        <v>150</v>
      </c>
      <c r="H52" s="125">
        <v>26</v>
      </c>
      <c r="I52" s="125">
        <v>0</v>
      </c>
      <c r="J52" s="126">
        <f t="shared" si="0"/>
        <v>150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150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2"/>
        <v>150</v>
      </c>
      <c r="U52" s="132"/>
      <c r="V52" t="s">
        <v>205</v>
      </c>
      <c r="W52" s="132"/>
      <c r="X52" s="134"/>
    </row>
    <row r="53" ht="45.65" customHeight="1" spans="1:24" x14ac:dyDescent="0.25">
      <c r="A53" s="121">
        <v>48</v>
      </c>
      <c r="B53" s="122"/>
      <c r="C53" s="155" t="s">
        <v>234</v>
      </c>
      <c r="D53" s="154" t="s">
        <v>177</v>
      </c>
      <c r="E53" s="154" t="s">
        <v>98</v>
      </c>
      <c r="F53" s="155" t="s">
        <v>198</v>
      </c>
      <c r="G53" s="157">
        <v>100</v>
      </c>
      <c r="H53" s="125">
        <v>26</v>
      </c>
      <c r="I53" s="125">
        <v>0</v>
      </c>
      <c r="J53" s="126">
        <f t="shared" si="0"/>
        <v>100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100</v>
      </c>
      <c r="P53" s="126">
        <v>0</v>
      </c>
      <c r="Q53" s="126">
        <v>42.30769230769231</v>
      </c>
      <c r="R53" s="126">
        <v>0</v>
      </c>
      <c r="S53" s="126">
        <v>0</v>
      </c>
      <c r="T53" s="127">
        <f t="shared" si="2"/>
        <v>57.69230769230769</v>
      </c>
      <c r="U53" s="132"/>
      <c r="V53" t="s">
        <v>205</v>
      </c>
      <c r="W53" s="132"/>
      <c r="X53" s="134"/>
    </row>
    <row r="54" ht="45.65" customHeight="1" spans="1:24" x14ac:dyDescent="0.25">
      <c r="A54" s="121">
        <v>49</v>
      </c>
      <c r="B54" s="122"/>
      <c r="C54" s="155" t="s">
        <v>235</v>
      </c>
      <c r="D54" s="154" t="s">
        <v>97</v>
      </c>
      <c r="E54" s="154" t="s">
        <v>98</v>
      </c>
      <c r="F54" s="155" t="s">
        <v>236</v>
      </c>
      <c r="G54" s="157">
        <v>270</v>
      </c>
      <c r="H54" s="125">
        <v>26</v>
      </c>
      <c r="I54" s="125">
        <v>0</v>
      </c>
      <c r="J54" s="126">
        <f t="shared" si="0"/>
        <v>270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270</v>
      </c>
      <c r="P54" s="126">
        <v>0</v>
      </c>
      <c r="Q54" s="126">
        <v>31.153846153846153</v>
      </c>
      <c r="R54" s="126">
        <v>0</v>
      </c>
      <c r="S54" s="126">
        <v>0</v>
      </c>
      <c r="T54" s="127">
        <f t="shared" si="2"/>
        <v>238.84615384615384</v>
      </c>
      <c r="U54" s="132"/>
      <c r="V54" t="s">
        <v>205</v>
      </c>
      <c r="W54" s="132"/>
      <c r="X54" s="134"/>
    </row>
    <row r="55" ht="45.65" customHeight="1" spans="1:24" x14ac:dyDescent="0.25">
      <c r="A55" s="121">
        <v>50</v>
      </c>
      <c r="B55" s="122" t="s">
        <v>237</v>
      </c>
      <c r="C55" s="155" t="s">
        <v>201</v>
      </c>
      <c r="D55" s="154"/>
      <c r="E55" s="154" t="s">
        <v>98</v>
      </c>
      <c r="F55" s="155"/>
      <c r="G55" s="156">
        <v>600</v>
      </c>
      <c r="H55" s="125">
        <v>26</v>
      </c>
      <c r="I55" s="125">
        <v>0</v>
      </c>
      <c r="J55" s="126">
        <f t="shared" si="0"/>
        <v>600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600</v>
      </c>
      <c r="P55" s="126">
        <v>0</v>
      </c>
      <c r="Q55" s="151">
        <v>0</v>
      </c>
      <c r="R55" s="126">
        <v>0</v>
      </c>
      <c r="S55" s="152">
        <v>176.3</v>
      </c>
      <c r="T55" s="127">
        <f t="shared" si="2"/>
        <v>423.7</v>
      </c>
      <c r="U55" s="132" t="s">
        <v>57</v>
      </c>
      <c r="V55" t="s">
        <v>207</v>
      </c>
      <c r="W55" s="132">
        <v>600</v>
      </c>
      <c r="X55" s="134">
        <v>-176.3</v>
      </c>
    </row>
    <row r="56" ht="45.65" customHeight="1" spans="1:24" x14ac:dyDescent="0.25">
      <c r="A56" s="121">
        <v>51</v>
      </c>
      <c r="B56" s="122" t="s">
        <v>238</v>
      </c>
      <c r="C56" s="155" t="s">
        <v>202</v>
      </c>
      <c r="D56" s="154"/>
      <c r="E56" s="154" t="s">
        <v>98</v>
      </c>
      <c r="F56" s="155"/>
      <c r="G56" s="156">
        <v>422.65</v>
      </c>
      <c r="H56" s="125">
        <v>26</v>
      </c>
      <c r="I56" s="125">
        <v>0</v>
      </c>
      <c r="J56" s="126">
        <f t="shared" si="0"/>
        <v>422.6499999999999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422.6499999999999</v>
      </c>
      <c r="P56" s="126">
        <v>0</v>
      </c>
      <c r="Q56" s="126">
        <v>0</v>
      </c>
      <c r="R56" s="126">
        <v>0</v>
      </c>
      <c r="S56" s="126">
        <v>0</v>
      </c>
      <c r="T56" s="127">
        <f t="shared" si="2"/>
        <v>422.6499999999999</v>
      </c>
      <c r="U56" s="132"/>
      <c r="V56" t="s">
        <v>207</v>
      </c>
      <c r="W56" s="132"/>
      <c r="X56" s="134"/>
    </row>
    <row r="57" ht="45.65" customHeight="1" spans="1:24" x14ac:dyDescent="0.25">
      <c r="A57" s="121">
        <v>52</v>
      </c>
      <c r="B57" s="122" t="s">
        <v>239</v>
      </c>
      <c r="C57" s="155" t="s">
        <v>170</v>
      </c>
      <c r="D57" s="154"/>
      <c r="E57" s="154" t="s">
        <v>171</v>
      </c>
      <c r="F57" s="155"/>
      <c r="G57" s="157">
        <v>300</v>
      </c>
      <c r="H57" s="125">
        <v>26</v>
      </c>
      <c r="I57" s="125">
        <v>0</v>
      </c>
      <c r="J57" s="126">
        <f t="shared" si="0"/>
        <v>300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300</v>
      </c>
      <c r="P57" s="126">
        <v>0</v>
      </c>
      <c r="Q57" s="151">
        <v>0</v>
      </c>
      <c r="R57" s="126">
        <v>0</v>
      </c>
      <c r="S57" s="152">
        <v>300</v>
      </c>
      <c r="T57" s="127">
        <f t="shared" si="2"/>
        <v>0</v>
      </c>
      <c r="U57" s="132" t="s">
        <v>57</v>
      </c>
      <c r="V57" t="s">
        <v>207</v>
      </c>
      <c r="W57" s="132">
        <v>300</v>
      </c>
      <c r="X57" s="134">
        <v>-300</v>
      </c>
    </row>
    <row r="58" ht="45.65" customHeight="1" spans="1:24" x14ac:dyDescent="0.25">
      <c r="A58" s="121">
        <v>53</v>
      </c>
      <c r="B58" s="122" t="s">
        <v>240</v>
      </c>
      <c r="C58" s="155" t="s">
        <v>172</v>
      </c>
      <c r="D58" s="154"/>
      <c r="E58" s="154" t="s">
        <v>171</v>
      </c>
      <c r="F58" s="155"/>
      <c r="G58" s="157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51">
        <v>0</v>
      </c>
      <c r="R58" s="126">
        <v>0</v>
      </c>
      <c r="S58" s="152">
        <v>600</v>
      </c>
      <c r="T58" s="127">
        <f t="shared" si="2"/>
        <v>0</v>
      </c>
      <c r="U58" s="131" t="s">
        <v>57</v>
      </c>
      <c r="V58" t="s">
        <v>207</v>
      </c>
      <c r="W58" s="132">
        <v>600</v>
      </c>
      <c r="X58" s="134">
        <v>-600</v>
      </c>
    </row>
    <row r="59" ht="45.65" customHeight="1" spans="1:24" x14ac:dyDescent="0.25">
      <c r="A59" s="121">
        <v>54</v>
      </c>
      <c r="B59" s="122"/>
      <c r="C59" s="155"/>
      <c r="D59" s="154"/>
      <c r="E59" s="154"/>
      <c r="F59" s="155"/>
      <c r="G59" s="157"/>
      <c r="H59" s="125">
        <v>26</v>
      </c>
      <c r="I59" s="125">
        <v>0</v>
      </c>
      <c r="J59" s="126">
        <f t="shared" si="0"/>
        <v>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2"/>
        <v>0</v>
      </c>
      <c r="U59" s="128"/>
      <c r="W59" s="132"/>
      <c r="X59" s="134"/>
    </row>
    <row r="60" ht="45.65" customHeight="1" spans="1:24" x14ac:dyDescent="0.25">
      <c r="A60" s="121">
        <v>55</v>
      </c>
      <c r="B60" s="122"/>
      <c r="C60" s="155"/>
      <c r="D60" s="154"/>
      <c r="E60" s="154"/>
      <c r="F60" s="155"/>
      <c r="G60" s="157"/>
      <c r="H60" s="125">
        <v>26</v>
      </c>
      <c r="I60" s="125">
        <v>0</v>
      </c>
      <c r="J60" s="126">
        <f t="shared" si="0"/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0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2"/>
        <v>0</v>
      </c>
      <c r="U60" s="128"/>
      <c r="W60" s="132"/>
      <c r="X60" s="134"/>
    </row>
    <row r="61" ht="45.65" customHeight="1" spans="1:24" x14ac:dyDescent="0.25">
      <c r="A61" s="158">
        <v>56</v>
      </c>
      <c r="B61" s="122"/>
      <c r="C61" s="160"/>
      <c r="D61" s="161"/>
      <c r="E61" s="161"/>
      <c r="F61" s="160"/>
      <c r="G61" s="162"/>
      <c r="H61" s="163">
        <v>26</v>
      </c>
      <c r="I61" s="163">
        <v>0</v>
      </c>
      <c r="J61" s="164">
        <f t="shared" si="0"/>
        <v>0</v>
      </c>
      <c r="K61" s="164">
        <v>0</v>
      </c>
      <c r="L61" s="164">
        <v>0</v>
      </c>
      <c r="M61" s="164">
        <v>0</v>
      </c>
      <c r="N61" s="164">
        <v>0</v>
      </c>
      <c r="O61" s="164">
        <f t="shared" si="1"/>
        <v>0</v>
      </c>
      <c r="P61" s="164">
        <v>0</v>
      </c>
      <c r="Q61" s="164">
        <v>0</v>
      </c>
      <c r="R61" s="164">
        <v>0</v>
      </c>
      <c r="S61" s="164">
        <v>0</v>
      </c>
      <c r="T61" s="165">
        <f t="shared" si="2"/>
        <v>0</v>
      </c>
      <c r="U61" s="166"/>
      <c r="W61" s="132"/>
      <c r="X61" s="134"/>
    </row>
    <row r="62" ht="50.15" customHeight="1" spans="1:24" x14ac:dyDescent="0.25">
      <c r="A62" s="184" t="s">
        <v>26</v>
      </c>
      <c r="B62" s="185"/>
      <c r="C62" s="185"/>
      <c r="D62" s="185"/>
      <c r="E62" s="185"/>
      <c r="F62" s="185"/>
      <c r="G62" s="185"/>
      <c r="H62" s="185"/>
      <c r="I62" s="186"/>
      <c r="J62" s="146">
        <f>SUBTOTAL(9,J6:J61)</f>
        <v>15151.88</v>
      </c>
      <c r="K62" s="146">
        <f t="shared" ref="K62:T62" si="3">SUBTOTAL(9,K6:K61)</f>
        <v>0</v>
      </c>
      <c r="L62" s="146">
        <f t="shared" si="3"/>
        <v>0</v>
      </c>
      <c r="M62" s="146">
        <f t="shared" si="3"/>
        <v>0</v>
      </c>
      <c r="N62" s="146">
        <f t="shared" si="3"/>
        <v>300</v>
      </c>
      <c r="O62" s="146">
        <f t="shared" si="3"/>
        <v>15451.88</v>
      </c>
      <c r="P62" s="146">
        <f t="shared" si="3"/>
        <v>0</v>
      </c>
      <c r="Q62" s="146">
        <f t="shared" si="3"/>
        <v>85.55192307692307</v>
      </c>
      <c r="R62" s="146">
        <f t="shared" si="3"/>
        <v>150</v>
      </c>
      <c r="S62" s="167">
        <f t="shared" si="3"/>
        <v>1276.3</v>
      </c>
      <c r="T62" s="147">
        <f t="shared" si="3"/>
        <v>13940.02807692308</v>
      </c>
      <c r="U62" s="146"/>
      <c r="W62" s="146">
        <f t="shared" ref="W62" si="4">SUBTOTAL(9,W6:W61)</f>
        <v>2100</v>
      </c>
      <c r="X62" s="146">
        <f t="shared" ref="X62" si="5">SUBTOTAL(9,X6:X61)</f>
        <v>-1276.3</v>
      </c>
    </row>
    <row r="66" spans="15:15" x14ac:dyDescent="0.25">
      <c r="O66" s="148"/>
    </row>
  </sheetData>
  <autoFilter ref="A5:X61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workbookViewId="0" zoomScale="60" zoomScaleNormal="60">
      <pane ySplit="5" topLeftCell="A24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4" x14ac:dyDescent="0.25">
      <c r="A6" s="121">
        <v>1</v>
      </c>
      <c r="B6" s="122"/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9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</row>
    <row r="7" ht="45.65" customHeight="1" spans="1:24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9" si="1">J7+K7+L7+M7+N7</f>
        <v>150</v>
      </c>
      <c r="P7" s="126">
        <v>0</v>
      </c>
      <c r="Q7" s="126">
        <v>5.769230769230769</v>
      </c>
      <c r="R7" s="126">
        <v>0</v>
      </c>
      <c r="S7" s="126">
        <v>0</v>
      </c>
      <c r="T7" s="127">
        <f>O7-P7-Q7-R7-S7</f>
        <v>144.23076923076923</v>
      </c>
      <c r="U7" s="128"/>
      <c r="W7" s="128"/>
      <c r="X7" s="128"/>
    </row>
    <row r="8" ht="45.65" customHeight="1" spans="1:24" x14ac:dyDescent="0.25">
      <c r="A8" s="121">
        <v>3</v>
      </c>
      <c r="B8" s="122">
        <v>2003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59" si="2">O8-P8-Q8-R8-S8</f>
        <v>410</v>
      </c>
      <c r="U8" s="131"/>
      <c r="W8" s="131"/>
      <c r="X8" s="131"/>
    </row>
    <row r="9" ht="45.65" customHeight="1" spans="1:24" x14ac:dyDescent="0.25">
      <c r="A9" s="121">
        <v>4</v>
      </c>
      <c r="B9" s="122">
        <v>2004</v>
      </c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255.00000000000003</v>
      </c>
      <c r="U9" s="132"/>
      <c r="W9" s="132"/>
      <c r="X9" s="132"/>
    </row>
    <row r="10" ht="45.65" customHeight="1" spans="1:24" x14ac:dyDescent="0.25">
      <c r="A10" s="121">
        <v>5</v>
      </c>
      <c r="B10" s="122">
        <v>2005</v>
      </c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  <c r="W10" s="132"/>
      <c r="X10" s="132"/>
    </row>
    <row r="11" ht="45.65" customHeight="1" spans="1:24" x14ac:dyDescent="0.25">
      <c r="A11" s="121">
        <v>6</v>
      </c>
      <c r="B11" s="122">
        <v>2006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2"/>
        <v>430.00000000000006</v>
      </c>
      <c r="U11" s="132"/>
      <c r="W11" s="132"/>
      <c r="X11" s="132"/>
    </row>
    <row r="12" ht="45.65" customHeight="1" spans="1:24" x14ac:dyDescent="0.25">
      <c r="A12" s="121">
        <v>7</v>
      </c>
      <c r="B12" s="122">
        <v>2007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32"/>
      <c r="W12" s="132"/>
      <c r="X12" s="132"/>
    </row>
    <row r="13" ht="45.65" customHeight="1" spans="1:24" x14ac:dyDescent="0.25">
      <c r="A13" s="121">
        <v>8</v>
      </c>
      <c r="B13" s="122">
        <v>2008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50</v>
      </c>
      <c r="M13" s="126">
        <v>0</v>
      </c>
      <c r="N13" s="126">
        <v>0</v>
      </c>
      <c r="O13" s="126">
        <f t="shared" si="1"/>
        <v>380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380</v>
      </c>
      <c r="U13" s="132"/>
      <c r="W13" s="132"/>
      <c r="X13" s="132"/>
    </row>
    <row r="14" ht="45.65" customHeight="1" spans="1:24" x14ac:dyDescent="0.25">
      <c r="A14" s="121">
        <v>9</v>
      </c>
      <c r="B14" s="122">
        <v>2009</v>
      </c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160</v>
      </c>
      <c r="H14" s="125">
        <v>26</v>
      </c>
      <c r="I14" s="125">
        <v>0</v>
      </c>
      <c r="J14" s="126">
        <f t="shared" si="0"/>
        <v>160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160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160</v>
      </c>
      <c r="U14" s="132"/>
      <c r="W14" s="132"/>
      <c r="X14" s="132"/>
    </row>
    <row r="15" ht="45.65" customHeight="1" spans="1:24" x14ac:dyDescent="0.25">
      <c r="A15" s="121">
        <v>10</v>
      </c>
      <c r="B15" s="122">
        <v>2010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200</v>
      </c>
      <c r="U15" s="132"/>
      <c r="W15" s="132"/>
      <c r="X15" s="132"/>
    </row>
    <row r="16" ht="45.65" customHeight="1" spans="1:24" x14ac:dyDescent="0.25">
      <c r="A16" s="121">
        <v>11</v>
      </c>
      <c r="B16" s="122">
        <v>2011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430.00000000000006</v>
      </c>
      <c r="U16" s="132"/>
      <c r="W16" s="132"/>
      <c r="X16" s="132"/>
    </row>
    <row r="17" ht="45.65" customHeight="1" spans="1:24" x14ac:dyDescent="0.25">
      <c r="A17" s="121">
        <v>12</v>
      </c>
      <c r="B17" s="122">
        <v>2012</v>
      </c>
      <c r="C17" s="123" t="s">
        <v>122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2"/>
        <v>400</v>
      </c>
      <c r="U17" s="132"/>
      <c r="W17" s="132"/>
      <c r="X17" s="132"/>
    </row>
    <row r="18" ht="45.65" customHeight="1" spans="1:24" x14ac:dyDescent="0.25">
      <c r="A18" s="121">
        <v>13</v>
      </c>
      <c r="B18" s="122">
        <v>2013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600</v>
      </c>
      <c r="U18" s="132"/>
      <c r="W18" s="132"/>
      <c r="X18" s="132"/>
    </row>
    <row r="19" ht="45.65" customHeight="1" spans="1:24" x14ac:dyDescent="0.25">
      <c r="A19" s="121">
        <v>14</v>
      </c>
      <c r="B19" s="122">
        <v>2014</v>
      </c>
      <c r="C19" s="123" t="s">
        <v>187</v>
      </c>
      <c r="D19" s="124" t="s">
        <v>116</v>
      </c>
      <c r="E19" s="124" t="s">
        <v>98</v>
      </c>
      <c r="F19" s="123" t="s">
        <v>127</v>
      </c>
      <c r="G19" s="122">
        <v>350</v>
      </c>
      <c r="H19" s="125">
        <v>26</v>
      </c>
      <c r="I19" s="125">
        <v>0</v>
      </c>
      <c r="J19" s="126">
        <f t="shared" si="0"/>
        <v>350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350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350</v>
      </c>
      <c r="U19" s="132"/>
      <c r="W19" s="132"/>
      <c r="X19" s="132"/>
    </row>
    <row r="20" ht="45.65" customHeight="1" spans="1:24" x14ac:dyDescent="0.25">
      <c r="A20" s="121">
        <v>15</v>
      </c>
      <c r="B20" s="122">
        <v>2015</v>
      </c>
      <c r="C20" s="123" t="s">
        <v>188</v>
      </c>
      <c r="D20" s="124" t="s">
        <v>116</v>
      </c>
      <c r="E20" s="124" t="s">
        <v>183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2"/>
        <v>250</v>
      </c>
      <c r="U20" s="132"/>
      <c r="W20" s="133"/>
      <c r="X20" s="134"/>
    </row>
    <row r="21" ht="45.65" customHeight="1" spans="1:24" x14ac:dyDescent="0.25">
      <c r="A21" s="121">
        <v>16</v>
      </c>
      <c r="B21" s="122">
        <v>2016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2"/>
        <v>100</v>
      </c>
      <c r="U21" s="132"/>
      <c r="W21" s="132"/>
      <c r="X21" s="132"/>
    </row>
    <row r="22" ht="45.65" customHeight="1" spans="1:24" x14ac:dyDescent="0.25">
      <c r="A22" s="121">
        <v>17</v>
      </c>
      <c r="B22" s="122">
        <v>2017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2"/>
        <v>400</v>
      </c>
      <c r="U22" s="132"/>
      <c r="W22" s="132"/>
      <c r="X22" s="132"/>
    </row>
    <row r="23" ht="45.65" customHeight="1" spans="1:24" x14ac:dyDescent="0.25">
      <c r="A23" s="121">
        <v>18</v>
      </c>
      <c r="B23" s="122">
        <v>2018</v>
      </c>
      <c r="C23" s="123" t="s">
        <v>134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3.46</v>
      </c>
      <c r="R23" s="126">
        <v>0</v>
      </c>
      <c r="S23" s="126">
        <v>0</v>
      </c>
      <c r="T23" s="127">
        <f t="shared" si="2"/>
        <v>296.54</v>
      </c>
      <c r="U23" s="132"/>
      <c r="W23" s="132"/>
      <c r="X23" s="132"/>
    </row>
    <row r="24" ht="45.65" customHeight="1" spans="1:24" x14ac:dyDescent="0.25">
      <c r="A24" s="121">
        <v>19</v>
      </c>
      <c r="B24" s="122">
        <v>2019</v>
      </c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50</v>
      </c>
      <c r="U24" s="132"/>
      <c r="W24" s="132"/>
      <c r="X24" s="132"/>
    </row>
    <row r="25" ht="45.65" customHeight="1" spans="1:24" x14ac:dyDescent="0.25">
      <c r="A25" s="121">
        <v>20</v>
      </c>
      <c r="B25" s="122">
        <v>2020</v>
      </c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11.54</v>
      </c>
      <c r="R25" s="126">
        <v>0</v>
      </c>
      <c r="S25" s="126">
        <v>0</v>
      </c>
      <c r="T25" s="127">
        <f t="shared" si="2"/>
        <v>138.46</v>
      </c>
      <c r="U25" s="132"/>
      <c r="W25" s="132"/>
      <c r="X25" s="132"/>
    </row>
    <row r="26" ht="45.65" customHeight="1" spans="1:24" x14ac:dyDescent="0.25">
      <c r="A26" s="121">
        <v>21</v>
      </c>
      <c r="B26" s="122">
        <v>2021</v>
      </c>
      <c r="C26" s="123" t="s">
        <v>140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150</v>
      </c>
      <c r="U26" s="132"/>
      <c r="W26" s="132"/>
      <c r="X26" s="132"/>
    </row>
    <row r="27" ht="45.65" customHeight="1" spans="1:24" x14ac:dyDescent="0.25">
      <c r="A27" s="121">
        <v>22</v>
      </c>
      <c r="B27" s="122">
        <v>2022</v>
      </c>
      <c r="C27" s="123" t="s">
        <v>142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150</v>
      </c>
      <c r="U27" s="132"/>
      <c r="W27" s="132"/>
      <c r="X27" s="132"/>
    </row>
    <row r="28" ht="45.65" customHeight="1" spans="1:24" x14ac:dyDescent="0.25">
      <c r="A28" s="121">
        <v>23</v>
      </c>
      <c r="B28" s="122">
        <v>2023</v>
      </c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100</v>
      </c>
      <c r="U28" s="132"/>
      <c r="W28" s="132"/>
      <c r="X28" s="132"/>
    </row>
    <row r="29" ht="45.65" customHeight="1" spans="1:24" x14ac:dyDescent="0.25">
      <c r="A29" s="121">
        <v>24</v>
      </c>
      <c r="B29" s="122">
        <v>2024</v>
      </c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80</v>
      </c>
      <c r="U29" s="132"/>
      <c r="W29" s="132"/>
      <c r="X29" s="132"/>
    </row>
    <row r="30" ht="45.65" customHeight="1" spans="1:24" x14ac:dyDescent="0.25">
      <c r="A30" s="121">
        <v>25</v>
      </c>
      <c r="B30" s="122">
        <v>2025</v>
      </c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150</v>
      </c>
      <c r="U30" s="132"/>
      <c r="W30" s="132"/>
      <c r="X30" s="132"/>
    </row>
    <row r="31" ht="45.65" customHeight="1" spans="1:24" x14ac:dyDescent="0.25">
      <c r="A31" s="121">
        <v>26</v>
      </c>
      <c r="B31" s="122">
        <v>2026</v>
      </c>
      <c r="C31" s="123" t="s">
        <v>147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150</v>
      </c>
      <c r="U31" s="132"/>
      <c r="W31" s="132"/>
      <c r="X31" s="132"/>
    </row>
    <row r="32" ht="45.65" customHeight="1" spans="1:24" x14ac:dyDescent="0.25">
      <c r="A32" s="121">
        <v>27</v>
      </c>
      <c r="B32" s="122">
        <v>2027</v>
      </c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200</v>
      </c>
      <c r="U32" s="132"/>
      <c r="W32" s="132"/>
      <c r="X32" s="132"/>
    </row>
    <row r="33" ht="45.65" customHeight="1" spans="1:24" x14ac:dyDescent="0.25">
      <c r="A33" s="121">
        <v>28</v>
      </c>
      <c r="B33" s="122">
        <v>2028</v>
      </c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/>
      <c r="S33" s="126">
        <v>0</v>
      </c>
      <c r="T33" s="127">
        <f t="shared" si="2"/>
        <v>250</v>
      </c>
      <c r="U33" s="132"/>
      <c r="W33" s="132"/>
      <c r="X33" s="134"/>
    </row>
    <row r="34" ht="45.65" customHeight="1" spans="1:24" x14ac:dyDescent="0.25">
      <c r="A34" s="121">
        <v>29</v>
      </c>
      <c r="B34" s="122">
        <v>2029</v>
      </c>
      <c r="C34" s="123" t="s">
        <v>189</v>
      </c>
      <c r="D34" s="124" t="s">
        <v>97</v>
      </c>
      <c r="E34" s="124" t="s">
        <v>98</v>
      </c>
      <c r="F34" s="123" t="s">
        <v>151</v>
      </c>
      <c r="G34" s="122">
        <v>270</v>
      </c>
      <c r="H34" s="125">
        <v>26</v>
      </c>
      <c r="I34" s="125">
        <v>0</v>
      </c>
      <c r="J34" s="126">
        <f t="shared" si="0"/>
        <v>270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270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270</v>
      </c>
      <c r="U34" s="132"/>
      <c r="W34" s="132"/>
      <c r="X34" s="132"/>
    </row>
    <row r="35" ht="45.65" customHeight="1" spans="1:24" x14ac:dyDescent="0.25">
      <c r="A35" s="121">
        <v>30</v>
      </c>
      <c r="B35" s="122">
        <v>2030</v>
      </c>
      <c r="C35" s="123" t="s">
        <v>190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270</v>
      </c>
      <c r="U35" s="132"/>
      <c r="W35" s="132"/>
      <c r="X35" s="132"/>
    </row>
    <row r="36" ht="45.65" customHeight="1" spans="1:24" x14ac:dyDescent="0.25">
      <c r="A36" s="121">
        <v>31</v>
      </c>
      <c r="B36" s="122">
        <v>2031</v>
      </c>
      <c r="C36" s="123" t="s">
        <v>154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50</v>
      </c>
      <c r="M36" s="126">
        <v>0</v>
      </c>
      <c r="N36" s="126">
        <v>0</v>
      </c>
      <c r="O36" s="126">
        <f t="shared" si="1"/>
        <v>330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330</v>
      </c>
      <c r="U36" s="132"/>
      <c r="W36" s="132"/>
      <c r="X36" s="132"/>
    </row>
    <row r="37" ht="45.65" customHeight="1" spans="1:24" x14ac:dyDescent="0.25">
      <c r="A37" s="121">
        <v>32</v>
      </c>
      <c r="B37" s="122">
        <v>2032</v>
      </c>
      <c r="C37" s="123" t="s">
        <v>155</v>
      </c>
      <c r="D37" s="124" t="s">
        <v>97</v>
      </c>
      <c r="E37" s="124" t="s">
        <v>156</v>
      </c>
      <c r="F37" s="123" t="s">
        <v>157</v>
      </c>
      <c r="G37" s="122">
        <v>200</v>
      </c>
      <c r="H37" s="125">
        <v>26</v>
      </c>
      <c r="I37" s="125">
        <v>0</v>
      </c>
      <c r="J37" s="126">
        <f t="shared" si="0"/>
        <v>200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200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200</v>
      </c>
      <c r="U37" s="132"/>
      <c r="W37" s="132"/>
      <c r="X37" s="132"/>
    </row>
    <row r="38" ht="45.65" customHeight="1" spans="1:24" x14ac:dyDescent="0.25">
      <c r="A38" s="121">
        <v>33</v>
      </c>
      <c r="B38" s="122">
        <v>2033</v>
      </c>
      <c r="C38" s="123" t="s">
        <v>191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2"/>
        <v>400</v>
      </c>
      <c r="U38" s="132" t="s">
        <v>57</v>
      </c>
      <c r="W38" s="132">
        <v>600</v>
      </c>
      <c r="X38" s="134">
        <v>-200</v>
      </c>
    </row>
    <row r="39" ht="45.65" customHeight="1" spans="1:24" x14ac:dyDescent="0.25">
      <c r="A39" s="121">
        <v>34</v>
      </c>
      <c r="B39" s="122">
        <v>2034</v>
      </c>
      <c r="C39" s="123" t="s">
        <v>159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26</v>
      </c>
      <c r="I39" s="125">
        <v>0</v>
      </c>
      <c r="J39" s="126">
        <f t="shared" si="0"/>
        <v>450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450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2"/>
        <v>450</v>
      </c>
      <c r="U39" s="132"/>
      <c r="W39" s="132"/>
      <c r="X39" s="132"/>
    </row>
    <row r="40" ht="45.65" customHeight="1" spans="1:24" x14ac:dyDescent="0.25">
      <c r="A40" s="121">
        <v>35</v>
      </c>
      <c r="B40" s="122">
        <v>2035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1.18</v>
      </c>
      <c r="R40" s="126">
        <v>0</v>
      </c>
      <c r="S40" s="126">
        <v>0</v>
      </c>
      <c r="T40" s="127">
        <f t="shared" si="2"/>
        <v>548.82</v>
      </c>
      <c r="U40" s="132"/>
      <c r="W40" s="132"/>
      <c r="X40" s="132"/>
    </row>
    <row r="41" ht="45.65" customHeight="1" spans="1:24" x14ac:dyDescent="0.25">
      <c r="A41" s="121">
        <v>36</v>
      </c>
      <c r="B41" s="122">
        <v>2036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1.92</v>
      </c>
      <c r="R41" s="126">
        <v>0</v>
      </c>
      <c r="S41" s="126">
        <v>0</v>
      </c>
      <c r="T41" s="127">
        <f t="shared" si="2"/>
        <v>448.08</v>
      </c>
      <c r="U41" s="132"/>
      <c r="W41" s="132"/>
      <c r="X41" s="132"/>
    </row>
    <row r="42" ht="45.65" customHeight="1" spans="1:24" x14ac:dyDescent="0.25">
      <c r="A42" s="121">
        <v>37</v>
      </c>
      <c r="B42" s="122">
        <v>2037</v>
      </c>
      <c r="C42" s="123" t="s">
        <v>165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1.92</v>
      </c>
      <c r="R42" s="126">
        <v>0</v>
      </c>
      <c r="S42" s="126">
        <v>0</v>
      </c>
      <c r="T42" s="127">
        <f t="shared" si="2"/>
        <v>448.08</v>
      </c>
      <c r="U42" s="132"/>
      <c r="W42" s="132"/>
      <c r="X42" s="132"/>
    </row>
    <row r="43" ht="45.65" customHeight="1" spans="1:24" x14ac:dyDescent="0.25">
      <c r="A43" s="121">
        <v>38</v>
      </c>
      <c r="B43" s="122">
        <v>2038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260</v>
      </c>
      <c r="U43" s="132"/>
      <c r="W43" s="132"/>
      <c r="X43" s="132"/>
    </row>
    <row r="44" ht="45.65" customHeight="1" spans="1:24" x14ac:dyDescent="0.25">
      <c r="A44" s="121">
        <v>39</v>
      </c>
      <c r="B44" s="122">
        <v>2039</v>
      </c>
      <c r="C44" s="123" t="s">
        <v>175</v>
      </c>
      <c r="D44" s="124" t="s">
        <v>97</v>
      </c>
      <c r="E44" s="124" t="s">
        <v>98</v>
      </c>
      <c r="F44" s="123" t="s">
        <v>59</v>
      </c>
      <c r="G44" s="122">
        <v>120</v>
      </c>
      <c r="H44" s="125">
        <v>26</v>
      </c>
      <c r="I44" s="125">
        <v>0</v>
      </c>
      <c r="J44" s="126">
        <f t="shared" si="0"/>
        <v>119.99999999999999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119.99999999999999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119.99999999999999</v>
      </c>
      <c r="U44" s="132"/>
      <c r="W44" s="132"/>
      <c r="X44" s="132"/>
    </row>
    <row r="45" ht="45.65" customHeight="1" spans="1:24" x14ac:dyDescent="0.25">
      <c r="A45" s="121">
        <v>40</v>
      </c>
      <c r="B45" s="122">
        <v>2040</v>
      </c>
      <c r="C45" s="123" t="s">
        <v>176</v>
      </c>
      <c r="D45" s="124" t="s">
        <v>177</v>
      </c>
      <c r="E45" s="124" t="s">
        <v>98</v>
      </c>
      <c r="F45" s="123" t="s">
        <v>178</v>
      </c>
      <c r="G45" s="122">
        <v>120</v>
      </c>
      <c r="H45" s="125">
        <v>26</v>
      </c>
      <c r="I45" s="125">
        <v>0</v>
      </c>
      <c r="J45" s="126">
        <f t="shared" si="0"/>
        <v>119.99999999999999</v>
      </c>
      <c r="K45" s="126">
        <v>0</v>
      </c>
      <c r="L45" s="168">
        <v>110</v>
      </c>
      <c r="M45" s="126">
        <v>0</v>
      </c>
      <c r="N45" s="126">
        <v>0</v>
      </c>
      <c r="O45" s="126">
        <f t="shared" si="1"/>
        <v>230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230</v>
      </c>
      <c r="U45" s="132"/>
      <c r="W45" s="132"/>
      <c r="X45" s="134"/>
    </row>
    <row r="46" ht="45.65" customHeight="1" spans="1:24" x14ac:dyDescent="0.25">
      <c r="A46" s="121">
        <v>41</v>
      </c>
      <c r="B46" s="122">
        <v>2041</v>
      </c>
      <c r="C46" s="123" t="s">
        <v>179</v>
      </c>
      <c r="D46" s="124" t="s">
        <v>177</v>
      </c>
      <c r="E46" s="124" t="s">
        <v>98</v>
      </c>
      <c r="F46" s="123" t="s">
        <v>180</v>
      </c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2"/>
        <v>80</v>
      </c>
      <c r="U46" s="132"/>
      <c r="W46" s="132"/>
      <c r="X46" s="134"/>
    </row>
    <row r="47" ht="45.65" customHeight="1" spans="1:24" x14ac:dyDescent="0.25">
      <c r="A47" s="121">
        <v>42</v>
      </c>
      <c r="B47" s="122">
        <v>2042</v>
      </c>
      <c r="C47" s="123" t="s">
        <v>181</v>
      </c>
      <c r="D47" s="124" t="s">
        <v>177</v>
      </c>
      <c r="E47" s="124" t="s">
        <v>98</v>
      </c>
      <c r="F47" s="123" t="s">
        <v>178</v>
      </c>
      <c r="G47" s="122">
        <v>240</v>
      </c>
      <c r="H47" s="125">
        <v>26</v>
      </c>
      <c r="I47" s="125">
        <v>0</v>
      </c>
      <c r="J47" s="126">
        <f t="shared" si="0"/>
        <v>239.99999999999997</v>
      </c>
      <c r="K47" s="126">
        <v>0</v>
      </c>
      <c r="L47" s="126">
        <v>50</v>
      </c>
      <c r="M47" s="126">
        <v>0</v>
      </c>
      <c r="N47" s="126">
        <v>0</v>
      </c>
      <c r="O47" s="126">
        <f t="shared" si="1"/>
        <v>290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2"/>
        <v>290</v>
      </c>
      <c r="U47" s="132"/>
      <c r="W47" s="132"/>
      <c r="X47" s="134"/>
    </row>
    <row r="48" ht="45.65" customHeight="1" spans="1:24" x14ac:dyDescent="0.25">
      <c r="A48" s="121">
        <v>43</v>
      </c>
      <c r="B48" s="122">
        <v>2043</v>
      </c>
      <c r="C48" s="123" t="s">
        <v>192</v>
      </c>
      <c r="D48" s="124" t="s">
        <v>177</v>
      </c>
      <c r="E48" s="124" t="s">
        <v>98</v>
      </c>
      <c r="F48" s="123" t="s">
        <v>178</v>
      </c>
      <c r="G48" s="122">
        <v>120</v>
      </c>
      <c r="H48" s="125">
        <v>26</v>
      </c>
      <c r="I48" s="125">
        <v>0</v>
      </c>
      <c r="J48" s="126">
        <f t="shared" si="0"/>
        <v>119.99999999999999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119.99999999999999</v>
      </c>
      <c r="P48" s="126">
        <v>0</v>
      </c>
      <c r="Q48" s="126">
        <v>55.38</v>
      </c>
      <c r="R48" s="126">
        <v>0</v>
      </c>
      <c r="S48" s="126">
        <v>0</v>
      </c>
      <c r="T48" s="127">
        <f t="shared" si="2"/>
        <v>64.61999999999998</v>
      </c>
      <c r="U48" s="132"/>
      <c r="W48" s="132"/>
      <c r="X48" s="134"/>
    </row>
    <row r="49" ht="45.65" customHeight="1" spans="1:24" x14ac:dyDescent="0.25">
      <c r="A49" s="169">
        <v>44</v>
      </c>
      <c r="B49" s="170">
        <v>2044</v>
      </c>
      <c r="C49" s="171" t="s">
        <v>193</v>
      </c>
      <c r="D49" s="172" t="s">
        <v>177</v>
      </c>
      <c r="E49" s="124" t="s">
        <v>98</v>
      </c>
      <c r="F49" s="171" t="s">
        <v>194</v>
      </c>
      <c r="G49" s="170">
        <v>100</v>
      </c>
      <c r="H49" s="173">
        <v>26</v>
      </c>
      <c r="I49" s="173">
        <v>0</v>
      </c>
      <c r="J49" s="174">
        <f t="shared" si="0"/>
        <v>100</v>
      </c>
      <c r="K49" s="174">
        <v>0</v>
      </c>
      <c r="L49" s="174">
        <v>0</v>
      </c>
      <c r="M49" s="174">
        <v>0</v>
      </c>
      <c r="N49" s="174">
        <v>0</v>
      </c>
      <c r="O49" s="174">
        <f t="shared" si="1"/>
        <v>100</v>
      </c>
      <c r="P49" s="174">
        <v>0</v>
      </c>
      <c r="Q49" s="174">
        <v>50</v>
      </c>
      <c r="R49" s="174">
        <v>0</v>
      </c>
      <c r="S49" s="174">
        <v>0</v>
      </c>
      <c r="T49" s="175">
        <f t="shared" si="2"/>
        <v>50</v>
      </c>
      <c r="U49" s="132"/>
      <c r="W49" s="132"/>
      <c r="X49" s="134"/>
    </row>
    <row r="50" ht="45.65" customHeight="1" spans="1:24" x14ac:dyDescent="0.25">
      <c r="A50" s="176">
        <v>45</v>
      </c>
      <c r="B50" s="177">
        <v>2045</v>
      </c>
      <c r="C50" s="178" t="s">
        <v>195</v>
      </c>
      <c r="D50" s="179" t="s">
        <v>109</v>
      </c>
      <c r="E50" s="124" t="s">
        <v>98</v>
      </c>
      <c r="F50" s="178" t="s">
        <v>196</v>
      </c>
      <c r="G50" s="177">
        <v>250</v>
      </c>
      <c r="H50" s="180">
        <v>26</v>
      </c>
      <c r="I50" s="180">
        <v>0</v>
      </c>
      <c r="J50" s="181">
        <f t="shared" si="0"/>
        <v>250</v>
      </c>
      <c r="K50" s="181">
        <v>0</v>
      </c>
      <c r="L50" s="181">
        <v>0</v>
      </c>
      <c r="M50" s="181">
        <v>0</v>
      </c>
      <c r="N50" s="181">
        <v>0</v>
      </c>
      <c r="O50" s="181">
        <f t="shared" si="1"/>
        <v>250</v>
      </c>
      <c r="P50" s="181">
        <v>0</v>
      </c>
      <c r="Q50" s="181">
        <v>0</v>
      </c>
      <c r="R50" s="181">
        <v>0</v>
      </c>
      <c r="S50" s="181">
        <v>0</v>
      </c>
      <c r="T50" s="182">
        <f t="shared" si="2"/>
        <v>250</v>
      </c>
      <c r="U50" s="132"/>
      <c r="W50" s="132"/>
      <c r="X50" s="134"/>
    </row>
    <row r="51" ht="45.65" customHeight="1" spans="1:24" x14ac:dyDescent="0.25">
      <c r="A51" s="121">
        <v>46</v>
      </c>
      <c r="B51" s="122">
        <v>2046</v>
      </c>
      <c r="C51" s="155" t="s">
        <v>197</v>
      </c>
      <c r="D51" s="154" t="s">
        <v>177</v>
      </c>
      <c r="E51" s="124" t="s">
        <v>98</v>
      </c>
      <c r="F51" s="155" t="s">
        <v>198</v>
      </c>
      <c r="G51" s="157">
        <v>80</v>
      </c>
      <c r="H51" s="125">
        <v>26</v>
      </c>
      <c r="I51" s="125">
        <v>0</v>
      </c>
      <c r="J51" s="126">
        <f t="shared" si="0"/>
        <v>80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80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80</v>
      </c>
      <c r="U51" s="132"/>
      <c r="W51" s="132"/>
      <c r="X51" s="134"/>
    </row>
    <row r="52" ht="45.65" customHeight="1" spans="1:24" x14ac:dyDescent="0.25">
      <c r="A52" s="121">
        <v>47</v>
      </c>
      <c r="B52" s="122">
        <v>2047</v>
      </c>
      <c r="C52" s="155" t="s">
        <v>199</v>
      </c>
      <c r="D52" s="154" t="s">
        <v>177</v>
      </c>
      <c r="E52" s="124" t="s">
        <v>98</v>
      </c>
      <c r="F52" s="155" t="s">
        <v>200</v>
      </c>
      <c r="G52" s="157">
        <v>150</v>
      </c>
      <c r="H52" s="125">
        <v>26</v>
      </c>
      <c r="I52" s="125">
        <v>0</v>
      </c>
      <c r="J52" s="126">
        <f t="shared" si="0"/>
        <v>150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150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2"/>
        <v>150</v>
      </c>
      <c r="U52" s="132"/>
      <c r="W52" s="132"/>
      <c r="X52" s="134"/>
    </row>
    <row r="53" ht="45.65" customHeight="1" spans="1:24" x14ac:dyDescent="0.25">
      <c r="A53" s="121">
        <v>50</v>
      </c>
      <c r="B53" s="122">
        <v>2050</v>
      </c>
      <c r="C53" s="153" t="s">
        <v>201</v>
      </c>
      <c r="D53" s="154" t="s">
        <v>97</v>
      </c>
      <c r="E53" s="154" t="s">
        <v>98</v>
      </c>
      <c r="F53" s="155"/>
      <c r="G53" s="156">
        <v>600</v>
      </c>
      <c r="H53" s="125">
        <v>26</v>
      </c>
      <c r="I53" s="125">
        <v>0</v>
      </c>
      <c r="J53" s="126">
        <f t="shared" si="0"/>
        <v>600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600</v>
      </c>
      <c r="P53" s="126">
        <v>0</v>
      </c>
      <c r="Q53" s="151">
        <v>0</v>
      </c>
      <c r="R53" s="126">
        <v>0</v>
      </c>
      <c r="S53" s="152">
        <v>176.3</v>
      </c>
      <c r="T53" s="127">
        <f t="shared" si="2"/>
        <v>423.7</v>
      </c>
      <c r="U53" s="132" t="s">
        <v>57</v>
      </c>
      <c r="W53" s="132">
        <v>600</v>
      </c>
      <c r="X53" s="134">
        <v>-176.3</v>
      </c>
    </row>
    <row r="54" ht="45.65" customHeight="1" spans="1:24" x14ac:dyDescent="0.25">
      <c r="A54" s="121">
        <v>51</v>
      </c>
      <c r="B54" s="122">
        <v>2051</v>
      </c>
      <c r="C54" s="153" t="s">
        <v>202</v>
      </c>
      <c r="D54" s="154" t="s">
        <v>97</v>
      </c>
      <c r="E54" s="154" t="s">
        <v>98</v>
      </c>
      <c r="F54" s="155"/>
      <c r="G54" s="156">
        <v>416.1</v>
      </c>
      <c r="H54" s="125">
        <v>26</v>
      </c>
      <c r="I54" s="125">
        <v>0</v>
      </c>
      <c r="J54" s="126">
        <f t="shared" si="0"/>
        <v>416.1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416.1</v>
      </c>
      <c r="P54" s="126">
        <v>0</v>
      </c>
      <c r="Q54" s="126">
        <v>1.27</v>
      </c>
      <c r="R54" s="126">
        <v>0</v>
      </c>
      <c r="S54" s="126">
        <v>0</v>
      </c>
      <c r="T54" s="127">
        <f t="shared" si="2"/>
        <v>414.83000000000004</v>
      </c>
      <c r="U54" s="132"/>
      <c r="W54" s="132"/>
      <c r="X54" s="134"/>
    </row>
    <row r="55" ht="45.65" customHeight="1" spans="1:24" x14ac:dyDescent="0.25">
      <c r="A55" s="121">
        <v>52</v>
      </c>
      <c r="B55" s="122">
        <v>2052</v>
      </c>
      <c r="C55" s="153" t="s">
        <v>170</v>
      </c>
      <c r="D55" s="154"/>
      <c r="E55" s="154" t="s">
        <v>171</v>
      </c>
      <c r="F55" s="155"/>
      <c r="G55" s="157">
        <v>300</v>
      </c>
      <c r="H55" s="125">
        <v>26</v>
      </c>
      <c r="I55" s="125">
        <v>0</v>
      </c>
      <c r="J55" s="126">
        <f t="shared" si="0"/>
        <v>300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300</v>
      </c>
      <c r="P55" s="126">
        <v>0</v>
      </c>
      <c r="Q55" s="151">
        <v>0</v>
      </c>
      <c r="R55" s="126">
        <v>0</v>
      </c>
      <c r="S55" s="152">
        <v>300</v>
      </c>
      <c r="T55" s="127">
        <f t="shared" si="2"/>
        <v>0</v>
      </c>
      <c r="U55" s="132" t="s">
        <v>57</v>
      </c>
      <c r="W55" s="132">
        <v>300</v>
      </c>
      <c r="X55" s="134">
        <v>-300</v>
      </c>
    </row>
    <row r="56" ht="45.65" customHeight="1" spans="1:24" x14ac:dyDescent="0.25">
      <c r="A56" s="121">
        <v>53</v>
      </c>
      <c r="B56" s="122">
        <v>2053</v>
      </c>
      <c r="C56" s="153" t="s">
        <v>203</v>
      </c>
      <c r="D56" s="154"/>
      <c r="E56" s="154" t="s">
        <v>171</v>
      </c>
      <c r="F56" s="155"/>
      <c r="G56" s="157">
        <v>600</v>
      </c>
      <c r="H56" s="125">
        <v>26</v>
      </c>
      <c r="I56" s="125">
        <v>0</v>
      </c>
      <c r="J56" s="126">
        <f t="shared" si="0"/>
        <v>600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600</v>
      </c>
      <c r="P56" s="126">
        <v>0</v>
      </c>
      <c r="Q56" s="151">
        <v>0</v>
      </c>
      <c r="R56" s="126">
        <v>0</v>
      </c>
      <c r="S56" s="152">
        <v>600</v>
      </c>
      <c r="T56" s="127">
        <f t="shared" si="2"/>
        <v>0</v>
      </c>
      <c r="U56" s="131" t="s">
        <v>57</v>
      </c>
      <c r="W56" s="132">
        <v>600</v>
      </c>
      <c r="X56" s="134">
        <v>-600</v>
      </c>
    </row>
    <row r="57" ht="45.65" customHeight="1" spans="1:24" x14ac:dyDescent="0.25">
      <c r="A57" s="121">
        <v>54</v>
      </c>
      <c r="B57" s="122">
        <v>2054</v>
      </c>
      <c r="C57" s="155"/>
      <c r="D57" s="154"/>
      <c r="E57" s="154"/>
      <c r="F57" s="155"/>
      <c r="G57" s="157"/>
      <c r="H57" s="125">
        <v>26</v>
      </c>
      <c r="I57" s="125">
        <v>0</v>
      </c>
      <c r="J57" s="126">
        <f t="shared" si="0"/>
        <v>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0</v>
      </c>
      <c r="P57" s="126">
        <v>0</v>
      </c>
      <c r="Q57" s="126">
        <v>0</v>
      </c>
      <c r="R57" s="126">
        <v>0</v>
      </c>
      <c r="S57" s="126">
        <v>0</v>
      </c>
      <c r="T57" s="127">
        <f t="shared" si="2"/>
        <v>0</v>
      </c>
      <c r="U57" s="128"/>
      <c r="W57" s="132"/>
      <c r="X57" s="134"/>
    </row>
    <row r="58" ht="45.65" customHeight="1" spans="1:24" x14ac:dyDescent="0.25">
      <c r="A58" s="121">
        <v>55</v>
      </c>
      <c r="B58" s="122">
        <v>2055</v>
      </c>
      <c r="C58" s="155"/>
      <c r="D58" s="154"/>
      <c r="E58" s="154"/>
      <c r="F58" s="155"/>
      <c r="G58" s="157"/>
      <c r="H58" s="125">
        <v>26</v>
      </c>
      <c r="I58" s="125">
        <v>0</v>
      </c>
      <c r="J58" s="126">
        <f t="shared" si="0"/>
        <v>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0</v>
      </c>
      <c r="P58" s="126">
        <v>0</v>
      </c>
      <c r="Q58" s="126">
        <v>0</v>
      </c>
      <c r="R58" s="126">
        <v>0</v>
      </c>
      <c r="S58" s="126">
        <v>0</v>
      </c>
      <c r="T58" s="127">
        <f t="shared" si="2"/>
        <v>0</v>
      </c>
      <c r="U58" s="128"/>
      <c r="W58" s="132"/>
      <c r="X58" s="134"/>
    </row>
    <row r="59" ht="45.65" customHeight="1" spans="1:24" x14ac:dyDescent="0.25">
      <c r="A59" s="158">
        <v>56</v>
      </c>
      <c r="B59" s="159">
        <v>2056</v>
      </c>
      <c r="C59" s="160"/>
      <c r="D59" s="161"/>
      <c r="E59" s="161"/>
      <c r="F59" s="160"/>
      <c r="G59" s="162"/>
      <c r="H59" s="163">
        <v>26</v>
      </c>
      <c r="I59" s="163">
        <v>0</v>
      </c>
      <c r="J59" s="164">
        <f t="shared" si="0"/>
        <v>0</v>
      </c>
      <c r="K59" s="164">
        <v>0</v>
      </c>
      <c r="L59" s="164">
        <v>0</v>
      </c>
      <c r="M59" s="164">
        <v>0</v>
      </c>
      <c r="N59" s="164">
        <v>0</v>
      </c>
      <c r="O59" s="164">
        <f t="shared" si="1"/>
        <v>0</v>
      </c>
      <c r="P59" s="164">
        <v>0</v>
      </c>
      <c r="Q59" s="164">
        <v>0</v>
      </c>
      <c r="R59" s="164">
        <v>0</v>
      </c>
      <c r="S59" s="164">
        <v>0</v>
      </c>
      <c r="T59" s="165">
        <f t="shared" si="2"/>
        <v>0</v>
      </c>
      <c r="U59" s="166"/>
      <c r="W59" s="132"/>
      <c r="X59" s="134"/>
    </row>
    <row r="60" ht="50.15" customHeight="1" spans="1:24" x14ac:dyDescent="0.25">
      <c r="A60" s="143" t="s">
        <v>26</v>
      </c>
      <c r="B60" s="144"/>
      <c r="C60" s="144"/>
      <c r="D60" s="144"/>
      <c r="E60" s="144"/>
      <c r="F60" s="144"/>
      <c r="G60" s="144"/>
      <c r="H60" s="144"/>
      <c r="I60" s="145"/>
      <c r="J60" s="146">
        <f t="shared" ref="J60:T60" si="3">SUBTOTAL(9,J6:J59)</f>
        <v>14341.1</v>
      </c>
      <c r="K60" s="146">
        <f t="shared" si="3"/>
        <v>0</v>
      </c>
      <c r="L60" s="146">
        <f t="shared" si="3"/>
        <v>260</v>
      </c>
      <c r="M60" s="146">
        <f t="shared" si="3"/>
        <v>0</v>
      </c>
      <c r="N60" s="146">
        <f t="shared" si="3"/>
        <v>300</v>
      </c>
      <c r="O60" s="146">
        <f t="shared" si="3"/>
        <v>14901.1</v>
      </c>
      <c r="P60" s="146">
        <f t="shared" si="3"/>
        <v>0</v>
      </c>
      <c r="Q60" s="146">
        <f t="shared" si="3"/>
        <v>132.4392307692308</v>
      </c>
      <c r="R60" s="146">
        <f t="shared" si="3"/>
        <v>150</v>
      </c>
      <c r="S60" s="167">
        <f t="shared" si="3"/>
        <v>1276.3</v>
      </c>
      <c r="T60" s="147">
        <f t="shared" si="3"/>
        <v>13342.36076923077</v>
      </c>
      <c r="U60" s="146"/>
      <c r="W60" s="146">
        <f t="shared" ref="W60:X60" si="4">SUBTOTAL(9,W6:W59)</f>
        <v>2100</v>
      </c>
      <c r="X60" s="146">
        <f t="shared" si="4"/>
        <v>-1276.3</v>
      </c>
    </row>
    <row r="63" spans="15:15" x14ac:dyDescent="0.25">
      <c r="O63" s="148">
        <f>O60-Q60</f>
        <v>14768.66076923077</v>
      </c>
    </row>
    <row r="65" spans="15:15" x14ac:dyDescent="0.25">
      <c r="O65" s="148"/>
    </row>
    <row r="66" spans="15:15" x14ac:dyDescent="0.25">
      <c r="O66" s="148"/>
    </row>
  </sheetData>
  <autoFilter ref="A5:X59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60:I60"/>
  </mergeCells>
  <conditionalFormatting sqref="C6:C59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0"/>
  <sheetViews>
    <sheetView workbookViewId="0" zoomScale="60" zoomScaleNormal="60">
      <pane ySplit="5" topLeftCell="A12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4" x14ac:dyDescent="0.25">
      <c r="A6" s="121">
        <v>1</v>
      </c>
      <c r="B6" s="122">
        <v>2001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2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</row>
    <row r="7" ht="45.65" customHeight="1" spans="1:24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2" si="1">J7+K7+L7+M7+N7</f>
        <v>150</v>
      </c>
      <c r="P7" s="126">
        <v>0</v>
      </c>
      <c r="Q7" s="126">
        <v>0</v>
      </c>
      <c r="R7" s="126">
        <v>0</v>
      </c>
      <c r="S7" s="126">
        <v>0</v>
      </c>
      <c r="T7" s="127">
        <f>O7-P7-Q7-R7-S7</f>
        <v>150</v>
      </c>
      <c r="U7" s="128"/>
      <c r="W7" s="128"/>
      <c r="X7" s="128"/>
    </row>
    <row r="8" ht="45.65" customHeight="1" spans="1:24" x14ac:dyDescent="0.25">
      <c r="A8" s="121">
        <v>3</v>
      </c>
      <c r="B8" s="122">
        <v>2003</v>
      </c>
      <c r="C8" s="130" t="s">
        <v>88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0.87</v>
      </c>
      <c r="R8" s="126">
        <v>0</v>
      </c>
      <c r="S8" s="126">
        <v>0</v>
      </c>
      <c r="T8" s="127">
        <f t="shared" ref="T8:T52" si="2">O8-P8-Q8-R8-S8</f>
        <v>409.13</v>
      </c>
      <c r="U8" s="131"/>
      <c r="W8" s="131"/>
      <c r="X8" s="131"/>
    </row>
    <row r="9" ht="45.65" customHeight="1" spans="1:24" x14ac:dyDescent="0.25">
      <c r="A9" s="121">
        <v>4</v>
      </c>
      <c r="B9" s="122">
        <v>2004</v>
      </c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255.00000000000003</v>
      </c>
      <c r="U9" s="132"/>
      <c r="W9" s="132"/>
      <c r="X9" s="132"/>
    </row>
    <row r="10" ht="45.65" customHeight="1" spans="1:24" x14ac:dyDescent="0.25">
      <c r="A10" s="121">
        <v>5</v>
      </c>
      <c r="B10" s="122">
        <v>2005</v>
      </c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  <c r="W10" s="132"/>
      <c r="X10" s="132"/>
    </row>
    <row r="11" ht="45.65" customHeight="1" spans="1:24" x14ac:dyDescent="0.25">
      <c r="A11" s="121">
        <v>6</v>
      </c>
      <c r="B11" s="122">
        <v>2006</v>
      </c>
      <c r="C11" s="123" t="s">
        <v>108</v>
      </c>
      <c r="D11" s="124" t="s">
        <v>109</v>
      </c>
      <c r="E11" s="124" t="s">
        <v>110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0.72</v>
      </c>
      <c r="R11" s="126">
        <v>0</v>
      </c>
      <c r="S11" s="126">
        <v>0</v>
      </c>
      <c r="T11" s="127">
        <f t="shared" si="2"/>
        <v>429.28000000000003</v>
      </c>
      <c r="U11" s="132"/>
      <c r="W11" s="132"/>
      <c r="X11" s="132"/>
    </row>
    <row r="12" ht="45.65" customHeight="1" spans="1:24" x14ac:dyDescent="0.25">
      <c r="A12" s="121">
        <v>7</v>
      </c>
      <c r="B12" s="122">
        <v>2007</v>
      </c>
      <c r="C12" s="123" t="s">
        <v>111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49"/>
      <c r="W12" s="132"/>
      <c r="X12" s="132"/>
    </row>
    <row r="13" ht="45.65" customHeight="1" spans="1:24" x14ac:dyDescent="0.25">
      <c r="A13" s="121">
        <v>8</v>
      </c>
      <c r="B13" s="122">
        <v>2008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330</v>
      </c>
      <c r="U13" s="132"/>
      <c r="W13" s="132"/>
      <c r="X13" s="132"/>
    </row>
    <row r="14" ht="45.65" customHeight="1" spans="1:24" x14ac:dyDescent="0.25">
      <c r="A14" s="121">
        <v>9</v>
      </c>
      <c r="B14" s="122">
        <v>2009</v>
      </c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160</v>
      </c>
      <c r="H14" s="125">
        <v>26</v>
      </c>
      <c r="I14" s="125">
        <v>0</v>
      </c>
      <c r="J14" s="126">
        <f t="shared" si="0"/>
        <v>160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160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160</v>
      </c>
      <c r="U14" s="132"/>
      <c r="W14" s="132"/>
      <c r="X14" s="132"/>
    </row>
    <row r="15" ht="45.65" customHeight="1" spans="1:24" x14ac:dyDescent="0.25">
      <c r="A15" s="121">
        <v>9</v>
      </c>
      <c r="B15" s="122">
        <v>2009</v>
      </c>
      <c r="C15" s="123" t="s">
        <v>115</v>
      </c>
      <c r="D15" s="124" t="s">
        <v>116</v>
      </c>
      <c r="E15" s="124" t="s">
        <v>98</v>
      </c>
      <c r="F15" s="123" t="s">
        <v>59</v>
      </c>
      <c r="G15" s="122">
        <v>155</v>
      </c>
      <c r="H15" s="125">
        <v>26</v>
      </c>
      <c r="I15" s="125">
        <v>0</v>
      </c>
      <c r="J15" s="126">
        <f t="shared" ref="J15" si="3">G15/26*H15</f>
        <v>155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ref="O15" si="4">J15+K15+L15+M15+N15</f>
        <v>155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ref="T15" si="5">O15-P15-Q15-R15-S15</f>
        <v>155</v>
      </c>
      <c r="U15" s="132"/>
      <c r="W15" s="132"/>
      <c r="X15" s="132"/>
    </row>
    <row r="16" ht="45.65" customHeight="1" spans="1:24" x14ac:dyDescent="0.25">
      <c r="A16" s="121">
        <v>10</v>
      </c>
      <c r="B16" s="122">
        <v>2010</v>
      </c>
      <c r="C16" s="123" t="s">
        <v>117</v>
      </c>
      <c r="D16" s="124" t="s">
        <v>97</v>
      </c>
      <c r="E16" s="124" t="s">
        <v>98</v>
      </c>
      <c r="F16" s="123" t="s">
        <v>118</v>
      </c>
      <c r="G16" s="122">
        <v>200</v>
      </c>
      <c r="H16" s="125">
        <v>26</v>
      </c>
      <c r="I16" s="125">
        <v>0</v>
      </c>
      <c r="J16" s="126">
        <f t="shared" si="0"/>
        <v>200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200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200</v>
      </c>
      <c r="U16" s="132"/>
      <c r="W16" s="132"/>
      <c r="X16" s="132"/>
    </row>
    <row r="17" ht="45.65" customHeight="1" spans="1:24" x14ac:dyDescent="0.25">
      <c r="A17" s="121">
        <v>11</v>
      </c>
      <c r="B17" s="122">
        <v>2011</v>
      </c>
      <c r="C17" s="123" t="s">
        <v>119</v>
      </c>
      <c r="D17" s="124" t="s">
        <v>97</v>
      </c>
      <c r="E17" s="124" t="s">
        <v>120</v>
      </c>
      <c r="F17" s="123" t="s">
        <v>121</v>
      </c>
      <c r="G17" s="122">
        <v>430</v>
      </c>
      <c r="H17" s="125">
        <v>26</v>
      </c>
      <c r="I17" s="125">
        <v>0</v>
      </c>
      <c r="J17" s="126">
        <f t="shared" si="0"/>
        <v>430.00000000000006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430.00000000000006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2"/>
        <v>430.00000000000006</v>
      </c>
      <c r="U17" s="132"/>
      <c r="W17" s="132"/>
      <c r="X17" s="132"/>
    </row>
    <row r="18" ht="45.65" customHeight="1" spans="1:24" x14ac:dyDescent="0.25">
      <c r="A18" s="121">
        <v>12</v>
      </c>
      <c r="B18" s="122">
        <v>2012</v>
      </c>
      <c r="C18" s="123" t="s">
        <v>122</v>
      </c>
      <c r="D18" s="124" t="s">
        <v>97</v>
      </c>
      <c r="E18" s="124" t="s">
        <v>98</v>
      </c>
      <c r="F18" s="123" t="s">
        <v>123</v>
      </c>
      <c r="G18" s="122">
        <v>450</v>
      </c>
      <c r="H18" s="125">
        <v>26</v>
      </c>
      <c r="I18" s="125">
        <v>0</v>
      </c>
      <c r="J18" s="126">
        <f t="shared" si="0"/>
        <v>450</v>
      </c>
      <c r="K18" s="126">
        <v>0</v>
      </c>
      <c r="L18" s="126">
        <v>0</v>
      </c>
      <c r="M18" s="126">
        <v>0</v>
      </c>
      <c r="N18" s="126">
        <v>0</v>
      </c>
      <c r="O18" s="126">
        <f t="shared" si="1"/>
        <v>450</v>
      </c>
      <c r="P18" s="126">
        <v>0</v>
      </c>
      <c r="Q18" s="126">
        <v>0.58</v>
      </c>
      <c r="R18" s="126">
        <v>0</v>
      </c>
      <c r="S18" s="126">
        <v>0</v>
      </c>
      <c r="T18" s="127">
        <f t="shared" si="2"/>
        <v>449.42</v>
      </c>
      <c r="U18" s="132"/>
      <c r="W18" s="132"/>
      <c r="X18" s="132"/>
    </row>
    <row r="19" ht="45.65" customHeight="1" spans="1:24" x14ac:dyDescent="0.25">
      <c r="A19" s="121">
        <v>13</v>
      </c>
      <c r="B19" s="122">
        <v>2013</v>
      </c>
      <c r="C19" s="123" t="s">
        <v>124</v>
      </c>
      <c r="D19" s="124" t="s">
        <v>100</v>
      </c>
      <c r="E19" s="124" t="s">
        <v>98</v>
      </c>
      <c r="F19" s="123" t="s">
        <v>125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50">
        <v>300</v>
      </c>
      <c r="O19" s="126">
        <f t="shared" si="1"/>
        <v>600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600</v>
      </c>
      <c r="U19" s="132"/>
      <c r="W19" s="132"/>
      <c r="X19" s="132"/>
    </row>
    <row r="20" ht="45.65" customHeight="1" spans="1:24" x14ac:dyDescent="0.25">
      <c r="A20" s="121">
        <v>14</v>
      </c>
      <c r="B20" s="122">
        <v>2014</v>
      </c>
      <c r="C20" s="123" t="s">
        <v>126</v>
      </c>
      <c r="D20" s="124" t="s">
        <v>116</v>
      </c>
      <c r="E20" s="124" t="s">
        <v>98</v>
      </c>
      <c r="F20" s="123" t="s">
        <v>127</v>
      </c>
      <c r="G20" s="122">
        <v>300</v>
      </c>
      <c r="H20" s="125">
        <v>26</v>
      </c>
      <c r="I20" s="125">
        <v>0</v>
      </c>
      <c r="J20" s="126">
        <f t="shared" si="0"/>
        <v>300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300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2"/>
        <v>300</v>
      </c>
      <c r="U20" s="132"/>
      <c r="W20" s="132"/>
      <c r="X20" s="132"/>
    </row>
    <row r="21" ht="45.65" customHeight="1" spans="1:24" x14ac:dyDescent="0.25">
      <c r="A21" s="121">
        <v>14</v>
      </c>
      <c r="B21" s="122">
        <v>2014</v>
      </c>
      <c r="C21" s="123" t="s">
        <v>128</v>
      </c>
      <c r="D21" s="124" t="s">
        <v>97</v>
      </c>
      <c r="E21" s="124" t="s">
        <v>98</v>
      </c>
      <c r="F21" s="123"/>
      <c r="G21" s="122">
        <v>200</v>
      </c>
      <c r="H21" s="125">
        <v>26</v>
      </c>
      <c r="I21" s="125">
        <v>0</v>
      </c>
      <c r="J21" s="126">
        <f t="shared" ref="J21" si="6">G21/26*H21</f>
        <v>200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ref="O21" si="7">J21+K21+L21+M21+N21</f>
        <v>200</v>
      </c>
      <c r="P21" s="126">
        <v>0</v>
      </c>
      <c r="Q21" s="126">
        <v>51.2</v>
      </c>
      <c r="R21" s="126">
        <v>0</v>
      </c>
      <c r="S21" s="126">
        <v>0</v>
      </c>
      <c r="T21" s="127">
        <f t="shared" ref="T21" si="8">O21-P21-Q21-R21-S21</f>
        <v>148.8</v>
      </c>
      <c r="U21" s="132"/>
      <c r="W21" s="132"/>
      <c r="X21" s="132"/>
    </row>
    <row r="22" ht="45.65" customHeight="1" spans="1:24" x14ac:dyDescent="0.25">
      <c r="A22" s="121">
        <v>15</v>
      </c>
      <c r="B22" s="122">
        <v>2015</v>
      </c>
      <c r="C22" s="123" t="s">
        <v>129</v>
      </c>
      <c r="D22" s="124" t="s">
        <v>116</v>
      </c>
      <c r="E22" s="124" t="s">
        <v>110</v>
      </c>
      <c r="F22" s="123"/>
      <c r="G22" s="122">
        <v>250</v>
      </c>
      <c r="H22" s="125">
        <v>26</v>
      </c>
      <c r="I22" s="125">
        <v>0</v>
      </c>
      <c r="J22" s="126">
        <f t="shared" si="0"/>
        <v>250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250</v>
      </c>
      <c r="P22" s="126">
        <v>0</v>
      </c>
      <c r="Q22" s="126">
        <v>0</v>
      </c>
      <c r="R22" s="126">
        <v>0</v>
      </c>
      <c r="S22" s="126">
        <v>0</v>
      </c>
      <c r="T22" s="127">
        <f t="shared" si="2"/>
        <v>250</v>
      </c>
      <c r="U22" s="132"/>
      <c r="W22" s="133"/>
      <c r="X22" s="134"/>
    </row>
    <row r="23" ht="45.65" customHeight="1" spans="1:24" x14ac:dyDescent="0.25">
      <c r="A23" s="121">
        <v>16</v>
      </c>
      <c r="B23" s="122">
        <v>2016</v>
      </c>
      <c r="C23" s="123" t="s">
        <v>130</v>
      </c>
      <c r="D23" s="124" t="s">
        <v>131</v>
      </c>
      <c r="E23" s="124" t="s">
        <v>98</v>
      </c>
      <c r="F23" s="123"/>
      <c r="G23" s="122">
        <v>100</v>
      </c>
      <c r="H23" s="125">
        <v>26</v>
      </c>
      <c r="I23" s="125">
        <v>0</v>
      </c>
      <c r="J23" s="126">
        <f t="shared" si="0"/>
        <v>100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100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2"/>
        <v>100</v>
      </c>
      <c r="U23" s="132"/>
      <c r="W23" s="132"/>
      <c r="X23" s="132"/>
    </row>
    <row r="24" ht="45.65" customHeight="1" spans="1:24" x14ac:dyDescent="0.25">
      <c r="A24" s="121">
        <v>17</v>
      </c>
      <c r="B24" s="122">
        <v>2017</v>
      </c>
      <c r="C24" s="123" t="s">
        <v>132</v>
      </c>
      <c r="D24" s="124" t="s">
        <v>97</v>
      </c>
      <c r="E24" s="124" t="s">
        <v>110</v>
      </c>
      <c r="F24" s="123" t="s">
        <v>133</v>
      </c>
      <c r="G24" s="122">
        <v>450</v>
      </c>
      <c r="H24" s="125">
        <v>26</v>
      </c>
      <c r="I24" s="125">
        <v>0</v>
      </c>
      <c r="J24" s="126">
        <f t="shared" si="0"/>
        <v>450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450</v>
      </c>
      <c r="P24" s="126">
        <v>0</v>
      </c>
      <c r="Q24" s="126">
        <v>0</v>
      </c>
      <c r="R24" s="126">
        <v>50</v>
      </c>
      <c r="S24" s="126">
        <v>0</v>
      </c>
      <c r="T24" s="127">
        <f t="shared" si="2"/>
        <v>400</v>
      </c>
      <c r="U24" s="132"/>
      <c r="W24" s="132"/>
      <c r="X24" s="132"/>
    </row>
    <row r="25" ht="45.65" customHeight="1" spans="1:24" x14ac:dyDescent="0.25">
      <c r="A25" s="121">
        <v>18</v>
      </c>
      <c r="B25" s="122">
        <v>2018</v>
      </c>
      <c r="C25" s="123" t="s">
        <v>134</v>
      </c>
      <c r="D25" s="124" t="s">
        <v>97</v>
      </c>
      <c r="E25" s="124" t="s">
        <v>98</v>
      </c>
      <c r="F25" s="123" t="s">
        <v>135</v>
      </c>
      <c r="G25" s="122">
        <v>300</v>
      </c>
      <c r="H25" s="125">
        <v>26</v>
      </c>
      <c r="I25" s="125">
        <v>0</v>
      </c>
      <c r="J25" s="126">
        <f t="shared" si="0"/>
        <v>300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300</v>
      </c>
      <c r="P25" s="126">
        <v>0</v>
      </c>
      <c r="Q25" s="126">
        <v>1.39</v>
      </c>
      <c r="R25" s="126">
        <v>0</v>
      </c>
      <c r="S25" s="126">
        <v>0</v>
      </c>
      <c r="T25" s="127">
        <f t="shared" si="2"/>
        <v>298.61</v>
      </c>
      <c r="U25" s="132"/>
      <c r="W25" s="132"/>
      <c r="X25" s="132"/>
    </row>
    <row r="26" ht="45.65" customHeight="1" spans="1:24" x14ac:dyDescent="0.25">
      <c r="A26" s="121">
        <v>19</v>
      </c>
      <c r="B26" s="122">
        <v>2019</v>
      </c>
      <c r="C26" s="123" t="s">
        <v>136</v>
      </c>
      <c r="D26" s="124" t="s">
        <v>109</v>
      </c>
      <c r="E26" s="124" t="s">
        <v>98</v>
      </c>
      <c r="F26" s="123" t="s">
        <v>137</v>
      </c>
      <c r="G26" s="122">
        <v>50</v>
      </c>
      <c r="H26" s="125">
        <v>26</v>
      </c>
      <c r="I26" s="125">
        <v>0</v>
      </c>
      <c r="J26" s="126">
        <f t="shared" si="0"/>
        <v>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50</v>
      </c>
      <c r="U26" s="132"/>
      <c r="W26" s="132"/>
      <c r="X26" s="132"/>
    </row>
    <row r="27" ht="45.65" customHeight="1" spans="1:24" x14ac:dyDescent="0.25">
      <c r="A27" s="121">
        <v>20</v>
      </c>
      <c r="B27" s="122">
        <v>2020</v>
      </c>
      <c r="C27" s="123" t="s">
        <v>138</v>
      </c>
      <c r="D27" s="124" t="s">
        <v>109</v>
      </c>
      <c r="E27" s="124" t="s">
        <v>98</v>
      </c>
      <c r="F27" s="123" t="s">
        <v>139</v>
      </c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11.54</v>
      </c>
      <c r="R27" s="126">
        <v>0</v>
      </c>
      <c r="S27" s="126">
        <v>0</v>
      </c>
      <c r="T27" s="127">
        <f t="shared" si="2"/>
        <v>138.46</v>
      </c>
      <c r="U27" s="132"/>
      <c r="W27" s="132"/>
      <c r="X27" s="132"/>
    </row>
    <row r="28" ht="45.65" customHeight="1" spans="1:24" x14ac:dyDescent="0.25">
      <c r="A28" s="121">
        <v>21</v>
      </c>
      <c r="B28" s="122">
        <v>2021</v>
      </c>
      <c r="C28" s="123" t="s">
        <v>140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150</v>
      </c>
      <c r="U28" s="132"/>
      <c r="W28" s="132"/>
      <c r="X28" s="132"/>
    </row>
    <row r="29" ht="45.65" customHeight="1" spans="1:24" x14ac:dyDescent="0.25">
      <c r="A29" s="121">
        <v>22</v>
      </c>
      <c r="B29" s="122">
        <v>2022</v>
      </c>
      <c r="C29" s="123" t="s">
        <v>142</v>
      </c>
      <c r="D29" s="124" t="s">
        <v>141</v>
      </c>
      <c r="E29" s="124" t="s">
        <v>98</v>
      </c>
      <c r="F29" s="123"/>
      <c r="G29" s="122">
        <v>150</v>
      </c>
      <c r="H29" s="125">
        <v>26</v>
      </c>
      <c r="I29" s="125">
        <v>0</v>
      </c>
      <c r="J29" s="126">
        <f t="shared" si="0"/>
        <v>150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150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150</v>
      </c>
      <c r="U29" s="132"/>
      <c r="W29" s="132"/>
      <c r="X29" s="132"/>
    </row>
    <row r="30" ht="45.65" customHeight="1" spans="1:24" x14ac:dyDescent="0.25">
      <c r="A30" s="121">
        <v>23</v>
      </c>
      <c r="B30" s="122">
        <v>2023</v>
      </c>
      <c r="C30" s="123" t="s">
        <v>143</v>
      </c>
      <c r="D30" s="124" t="s">
        <v>116</v>
      </c>
      <c r="E30" s="124" t="s">
        <v>98</v>
      </c>
      <c r="F30" s="123"/>
      <c r="G30" s="122">
        <v>100</v>
      </c>
      <c r="H30" s="125">
        <v>26</v>
      </c>
      <c r="I30" s="125">
        <v>0</v>
      </c>
      <c r="J30" s="126">
        <f t="shared" si="0"/>
        <v>100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100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100</v>
      </c>
      <c r="U30" s="132"/>
      <c r="W30" s="132"/>
      <c r="X30" s="132"/>
    </row>
    <row r="31" ht="45.65" customHeight="1" spans="1:24" x14ac:dyDescent="0.25">
      <c r="A31" s="121">
        <v>24</v>
      </c>
      <c r="B31" s="122">
        <v>2024</v>
      </c>
      <c r="C31" s="123" t="s">
        <v>144</v>
      </c>
      <c r="D31" s="124" t="s">
        <v>141</v>
      </c>
      <c r="E31" s="124" t="s">
        <v>98</v>
      </c>
      <c r="F31" s="123" t="s">
        <v>69</v>
      </c>
      <c r="G31" s="122">
        <v>80</v>
      </c>
      <c r="H31" s="125">
        <v>26</v>
      </c>
      <c r="I31" s="125">
        <v>0</v>
      </c>
      <c r="J31" s="126">
        <f t="shared" si="0"/>
        <v>80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80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80</v>
      </c>
      <c r="U31" s="132"/>
      <c r="W31" s="132"/>
      <c r="X31" s="132"/>
    </row>
    <row r="32" ht="45.65" customHeight="1" spans="1:24" x14ac:dyDescent="0.25">
      <c r="A32" s="121">
        <v>25</v>
      </c>
      <c r="B32" s="122">
        <v>2025</v>
      </c>
      <c r="C32" s="123" t="s">
        <v>145</v>
      </c>
      <c r="D32" s="124" t="s">
        <v>97</v>
      </c>
      <c r="E32" s="124" t="s">
        <v>146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150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150</v>
      </c>
      <c r="U32" s="132"/>
      <c r="W32" s="132"/>
      <c r="X32" s="132"/>
    </row>
    <row r="33" ht="45.65" customHeight="1" spans="1:24" x14ac:dyDescent="0.25">
      <c r="A33" s="121">
        <v>26</v>
      </c>
      <c r="B33" s="122">
        <v>2026</v>
      </c>
      <c r="C33" s="123" t="s">
        <v>147</v>
      </c>
      <c r="D33" s="124" t="s">
        <v>141</v>
      </c>
      <c r="E33" s="124" t="s">
        <v>110</v>
      </c>
      <c r="F33" s="123"/>
      <c r="G33" s="122">
        <v>150</v>
      </c>
      <c r="H33" s="125">
        <v>26</v>
      </c>
      <c r="I33" s="125">
        <v>0</v>
      </c>
      <c r="J33" s="126">
        <f t="shared" si="0"/>
        <v>150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150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2"/>
        <v>150</v>
      </c>
      <c r="U33" s="132"/>
      <c r="W33" s="132"/>
      <c r="X33" s="132"/>
    </row>
    <row r="34" ht="45.65" customHeight="1" spans="1:24" x14ac:dyDescent="0.25">
      <c r="A34" s="121">
        <v>27</v>
      </c>
      <c r="B34" s="122">
        <v>2027</v>
      </c>
      <c r="C34" s="123" t="s">
        <v>148</v>
      </c>
      <c r="D34" s="124" t="s">
        <v>116</v>
      </c>
      <c r="E34" s="124" t="s">
        <v>110</v>
      </c>
      <c r="F34" s="123"/>
      <c r="G34" s="122">
        <v>200</v>
      </c>
      <c r="H34" s="125">
        <v>26</v>
      </c>
      <c r="I34" s="125">
        <v>0</v>
      </c>
      <c r="J34" s="126">
        <f t="shared" si="0"/>
        <v>200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200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200</v>
      </c>
      <c r="U34" s="132"/>
      <c r="W34" s="132"/>
      <c r="X34" s="132"/>
    </row>
    <row r="35" ht="45.65" customHeight="1" spans="1:24" x14ac:dyDescent="0.25">
      <c r="A35" s="121">
        <v>28</v>
      </c>
      <c r="B35" s="122">
        <v>2028</v>
      </c>
      <c r="C35" s="123" t="s">
        <v>149</v>
      </c>
      <c r="D35" s="124" t="s">
        <v>116</v>
      </c>
      <c r="E35" s="124" t="s">
        <v>98</v>
      </c>
      <c r="F35" s="123"/>
      <c r="G35" s="122">
        <v>250</v>
      </c>
      <c r="H35" s="125">
        <v>26</v>
      </c>
      <c r="I35" s="125">
        <v>0</v>
      </c>
      <c r="J35" s="126">
        <f t="shared" si="0"/>
        <v>250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250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250</v>
      </c>
      <c r="U35" s="132"/>
      <c r="W35" s="132"/>
      <c r="X35" s="134"/>
    </row>
    <row r="36" ht="45.65" customHeight="1" spans="1:24" x14ac:dyDescent="0.25">
      <c r="A36" s="121">
        <v>29</v>
      </c>
      <c r="B36" s="122">
        <v>2029</v>
      </c>
      <c r="C36" s="123" t="s">
        <v>150</v>
      </c>
      <c r="D36" s="124" t="s">
        <v>97</v>
      </c>
      <c r="E36" s="124" t="s">
        <v>98</v>
      </c>
      <c r="F36" s="123" t="s">
        <v>151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270</v>
      </c>
      <c r="U36" s="132"/>
      <c r="W36" s="132"/>
      <c r="X36" s="132"/>
    </row>
    <row r="37" ht="45.65" customHeight="1" spans="1:24" x14ac:dyDescent="0.25">
      <c r="A37" s="121">
        <v>30</v>
      </c>
      <c r="B37" s="122">
        <v>2030</v>
      </c>
      <c r="C37" s="123" t="s">
        <v>152</v>
      </c>
      <c r="D37" s="124" t="s">
        <v>97</v>
      </c>
      <c r="E37" s="124" t="s">
        <v>98</v>
      </c>
      <c r="F37" s="123" t="s">
        <v>153</v>
      </c>
      <c r="G37" s="122">
        <v>270</v>
      </c>
      <c r="H37" s="125">
        <v>26</v>
      </c>
      <c r="I37" s="125">
        <v>0</v>
      </c>
      <c r="J37" s="126">
        <f t="shared" si="0"/>
        <v>270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270</v>
      </c>
      <c r="P37" s="126">
        <v>0</v>
      </c>
      <c r="Q37" s="126">
        <v>0</v>
      </c>
      <c r="R37" s="126">
        <v>50</v>
      </c>
      <c r="S37" s="126">
        <v>0</v>
      </c>
      <c r="T37" s="127">
        <f t="shared" si="2"/>
        <v>220</v>
      </c>
      <c r="U37" s="132"/>
      <c r="W37" s="132"/>
      <c r="X37" s="132"/>
    </row>
    <row r="38" ht="45.65" customHeight="1" spans="1:24" x14ac:dyDescent="0.25">
      <c r="A38" s="121">
        <v>31</v>
      </c>
      <c r="B38" s="122">
        <v>2031</v>
      </c>
      <c r="C38" s="123" t="s">
        <v>154</v>
      </c>
      <c r="D38" s="124" t="s">
        <v>100</v>
      </c>
      <c r="E38" s="124" t="s">
        <v>98</v>
      </c>
      <c r="F38" s="123"/>
      <c r="G38" s="122">
        <v>280</v>
      </c>
      <c r="H38" s="125">
        <v>26</v>
      </c>
      <c r="I38" s="125">
        <v>0</v>
      </c>
      <c r="J38" s="126">
        <f t="shared" si="0"/>
        <v>280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280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2"/>
        <v>280</v>
      </c>
      <c r="U38" s="132"/>
      <c r="W38" s="132"/>
      <c r="X38" s="132"/>
    </row>
    <row r="39" ht="45.65" customHeight="1" spans="1:24" x14ac:dyDescent="0.25">
      <c r="A39" s="121">
        <v>32</v>
      </c>
      <c r="B39" s="122">
        <v>2032</v>
      </c>
      <c r="C39" s="123" t="s">
        <v>155</v>
      </c>
      <c r="D39" s="124" t="s">
        <v>97</v>
      </c>
      <c r="E39" s="124" t="s">
        <v>156</v>
      </c>
      <c r="F39" s="123" t="s">
        <v>157</v>
      </c>
      <c r="G39" s="122">
        <v>200</v>
      </c>
      <c r="H39" s="125">
        <v>26</v>
      </c>
      <c r="I39" s="125">
        <v>0</v>
      </c>
      <c r="J39" s="126">
        <f t="shared" si="0"/>
        <v>200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200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2"/>
        <v>200</v>
      </c>
      <c r="U39" s="132"/>
      <c r="W39" s="132"/>
      <c r="X39" s="132"/>
    </row>
    <row r="40" ht="45.65" customHeight="1" spans="1:24" x14ac:dyDescent="0.25">
      <c r="A40" s="121">
        <v>33</v>
      </c>
      <c r="B40" s="122">
        <v>2033</v>
      </c>
      <c r="C40" s="123" t="s">
        <v>158</v>
      </c>
      <c r="D40" s="124" t="s">
        <v>97</v>
      </c>
      <c r="E40" s="124" t="s">
        <v>98</v>
      </c>
      <c r="F40" s="123"/>
      <c r="G40" s="122">
        <v>600</v>
      </c>
      <c r="H40" s="125">
        <v>26</v>
      </c>
      <c r="I40" s="125">
        <v>0</v>
      </c>
      <c r="J40" s="126">
        <f t="shared" si="0"/>
        <v>600</v>
      </c>
      <c r="K40" s="126">
        <v>0</v>
      </c>
      <c r="L40" s="126">
        <v>0</v>
      </c>
      <c r="M40" s="126">
        <v>0</v>
      </c>
      <c r="N40" s="126">
        <v>-200</v>
      </c>
      <c r="O40" s="126">
        <f t="shared" si="1"/>
        <v>400</v>
      </c>
      <c r="P40" s="126">
        <v>0</v>
      </c>
      <c r="Q40" s="151">
        <v>0</v>
      </c>
      <c r="R40" s="126">
        <v>0</v>
      </c>
      <c r="S40" s="152">
        <v>0</v>
      </c>
      <c r="T40" s="127">
        <f t="shared" si="2"/>
        <v>400</v>
      </c>
      <c r="U40" s="132" t="s">
        <v>57</v>
      </c>
      <c r="W40" s="132">
        <v>600</v>
      </c>
      <c r="X40" s="134">
        <v>-200</v>
      </c>
    </row>
    <row r="41" ht="45.65" customHeight="1" spans="1:24" x14ac:dyDescent="0.25">
      <c r="A41" s="121">
        <v>34</v>
      </c>
      <c r="B41" s="122">
        <v>2034</v>
      </c>
      <c r="C41" s="123" t="s">
        <v>159</v>
      </c>
      <c r="D41" s="124" t="s">
        <v>97</v>
      </c>
      <c r="E41" s="124" t="s">
        <v>156</v>
      </c>
      <c r="F41" s="123" t="s">
        <v>160</v>
      </c>
      <c r="G41" s="122">
        <v>200</v>
      </c>
      <c r="H41" s="125">
        <v>26</v>
      </c>
      <c r="I41" s="125">
        <v>0</v>
      </c>
      <c r="J41" s="126">
        <f t="shared" si="0"/>
        <v>200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200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2"/>
        <v>200</v>
      </c>
      <c r="U41" s="132"/>
      <c r="W41" s="132"/>
      <c r="X41" s="132"/>
    </row>
    <row r="42" ht="45.65" customHeight="1" spans="1:24" x14ac:dyDescent="0.25">
      <c r="A42" s="121">
        <v>35</v>
      </c>
      <c r="B42" s="122">
        <v>2035</v>
      </c>
      <c r="C42" s="123" t="s">
        <v>161</v>
      </c>
      <c r="D42" s="124" t="s">
        <v>97</v>
      </c>
      <c r="E42" s="124" t="s">
        <v>156</v>
      </c>
      <c r="F42" s="123" t="s">
        <v>162</v>
      </c>
      <c r="G42" s="122">
        <v>500</v>
      </c>
      <c r="H42" s="125">
        <v>26</v>
      </c>
      <c r="I42" s="125">
        <v>0</v>
      </c>
      <c r="J42" s="126">
        <f t="shared" si="0"/>
        <v>500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500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2"/>
        <v>500</v>
      </c>
      <c r="U42" s="132"/>
      <c r="W42" s="132"/>
      <c r="X42" s="132"/>
    </row>
    <row r="43" ht="45.65" customHeight="1" spans="1:24" x14ac:dyDescent="0.25">
      <c r="A43" s="121">
        <v>36</v>
      </c>
      <c r="B43" s="122">
        <v>2036</v>
      </c>
      <c r="C43" s="123" t="s">
        <v>163</v>
      </c>
      <c r="D43" s="124" t="s">
        <v>97</v>
      </c>
      <c r="E43" s="124" t="s">
        <v>156</v>
      </c>
      <c r="F43" s="123" t="s">
        <v>164</v>
      </c>
      <c r="G43" s="122">
        <v>400</v>
      </c>
      <c r="H43" s="125">
        <v>26</v>
      </c>
      <c r="I43" s="125">
        <v>0</v>
      </c>
      <c r="J43" s="126">
        <f t="shared" si="0"/>
        <v>400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400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400</v>
      </c>
      <c r="U43" s="132"/>
      <c r="W43" s="132"/>
      <c r="X43" s="132"/>
    </row>
    <row r="44" ht="45.65" customHeight="1" spans="1:24" x14ac:dyDescent="0.25">
      <c r="A44" s="121">
        <v>37</v>
      </c>
      <c r="B44" s="122">
        <v>2037</v>
      </c>
      <c r="C44" s="123" t="s">
        <v>165</v>
      </c>
      <c r="D44" s="124" t="s">
        <v>97</v>
      </c>
      <c r="E44" s="124" t="s">
        <v>156</v>
      </c>
      <c r="F44" s="123" t="s">
        <v>164</v>
      </c>
      <c r="G44" s="122">
        <v>400</v>
      </c>
      <c r="H44" s="125">
        <v>26</v>
      </c>
      <c r="I44" s="125">
        <v>0</v>
      </c>
      <c r="J44" s="126">
        <f t="shared" si="0"/>
        <v>400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400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400</v>
      </c>
      <c r="U44" s="132"/>
      <c r="W44" s="132"/>
      <c r="X44" s="132"/>
    </row>
    <row r="45" ht="45.65" customHeight="1" spans="1:24" x14ac:dyDescent="0.25">
      <c r="A45" s="121">
        <v>38</v>
      </c>
      <c r="B45" s="122">
        <v>2038</v>
      </c>
      <c r="C45" s="123" t="s">
        <v>166</v>
      </c>
      <c r="D45" s="124" t="s">
        <v>100</v>
      </c>
      <c r="E45" s="124" t="s">
        <v>98</v>
      </c>
      <c r="F45" s="123" t="s">
        <v>167</v>
      </c>
      <c r="G45" s="122">
        <v>260</v>
      </c>
      <c r="H45" s="125">
        <v>26</v>
      </c>
      <c r="I45" s="125">
        <v>0</v>
      </c>
      <c r="J45" s="126">
        <f t="shared" si="0"/>
        <v>260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260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260</v>
      </c>
      <c r="U45" s="132"/>
      <c r="W45" s="132"/>
      <c r="X45" s="132"/>
    </row>
    <row r="46" ht="45.65" customHeight="1" spans="1:24" x14ac:dyDescent="0.25">
      <c r="A46" s="121">
        <v>50</v>
      </c>
      <c r="B46" s="122">
        <v>2050</v>
      </c>
      <c r="C46" s="153" t="s">
        <v>168</v>
      </c>
      <c r="D46" s="154" t="s">
        <v>97</v>
      </c>
      <c r="E46" s="154" t="s">
        <v>98</v>
      </c>
      <c r="F46" s="155"/>
      <c r="G46" s="156">
        <v>600</v>
      </c>
      <c r="H46" s="125">
        <v>26</v>
      </c>
      <c r="I46" s="125">
        <v>0</v>
      </c>
      <c r="J46" s="126">
        <f t="shared" si="0"/>
        <v>600</v>
      </c>
      <c r="K46" s="126">
        <v>0</v>
      </c>
      <c r="L46" s="126">
        <v>0</v>
      </c>
      <c r="M46" s="126">
        <v>0</v>
      </c>
      <c r="N46" s="126">
        <v>-176.3</v>
      </c>
      <c r="O46" s="126">
        <f t="shared" si="1"/>
        <v>423.7</v>
      </c>
      <c r="P46" s="126">
        <v>0</v>
      </c>
      <c r="Q46" s="151">
        <v>0</v>
      </c>
      <c r="R46" s="126">
        <v>0</v>
      </c>
      <c r="S46" s="152">
        <v>0</v>
      </c>
      <c r="T46" s="127">
        <f t="shared" si="2"/>
        <v>423.7</v>
      </c>
      <c r="U46" s="132" t="s">
        <v>57</v>
      </c>
      <c r="W46" s="132">
        <v>600</v>
      </c>
      <c r="X46" s="134">
        <v>-176.3</v>
      </c>
    </row>
    <row r="47" ht="45.65" customHeight="1" spans="1:24" x14ac:dyDescent="0.25">
      <c r="A47" s="121">
        <v>51</v>
      </c>
      <c r="B47" s="122">
        <v>2051</v>
      </c>
      <c r="C47" s="153" t="s">
        <v>169</v>
      </c>
      <c r="D47" s="154" t="s">
        <v>97</v>
      </c>
      <c r="E47" s="154" t="s">
        <v>98</v>
      </c>
      <c r="F47" s="155"/>
      <c r="G47" s="156">
        <v>413.2</v>
      </c>
      <c r="H47" s="125">
        <v>26</v>
      </c>
      <c r="I47" s="125">
        <v>0</v>
      </c>
      <c r="J47" s="126">
        <f t="shared" si="0"/>
        <v>413.2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413.2</v>
      </c>
      <c r="P47" s="126">
        <v>0</v>
      </c>
      <c r="Q47" s="126">
        <v>47.68</v>
      </c>
      <c r="R47" s="126">
        <v>0</v>
      </c>
      <c r="S47" s="126">
        <v>0</v>
      </c>
      <c r="T47" s="127">
        <f t="shared" si="2"/>
        <v>365.52</v>
      </c>
      <c r="U47" s="132"/>
      <c r="W47" s="132"/>
      <c r="X47" s="134"/>
    </row>
    <row r="48" ht="45.65" customHeight="1" spans="1:24" x14ac:dyDescent="0.25">
      <c r="A48" s="121">
        <v>52</v>
      </c>
      <c r="B48" s="122">
        <v>2052</v>
      </c>
      <c r="C48" s="153" t="s">
        <v>170</v>
      </c>
      <c r="D48" s="154"/>
      <c r="E48" s="154" t="s">
        <v>171</v>
      </c>
      <c r="F48" s="155"/>
      <c r="G48" s="157">
        <v>300</v>
      </c>
      <c r="H48" s="125">
        <v>26</v>
      </c>
      <c r="I48" s="125">
        <v>0</v>
      </c>
      <c r="J48" s="126">
        <f t="shared" si="0"/>
        <v>300</v>
      </c>
      <c r="K48" s="126">
        <v>0</v>
      </c>
      <c r="L48" s="126">
        <v>0</v>
      </c>
      <c r="M48" s="126">
        <v>0</v>
      </c>
      <c r="N48" s="126">
        <v>-300</v>
      </c>
      <c r="O48" s="126">
        <f t="shared" si="1"/>
        <v>0</v>
      </c>
      <c r="P48" s="126">
        <v>0</v>
      </c>
      <c r="Q48" s="151">
        <v>0</v>
      </c>
      <c r="R48" s="126">
        <v>0</v>
      </c>
      <c r="S48" s="152">
        <v>0</v>
      </c>
      <c r="T48" s="127">
        <f t="shared" si="2"/>
        <v>0</v>
      </c>
      <c r="U48" s="132" t="s">
        <v>57</v>
      </c>
      <c r="W48" s="132">
        <v>300</v>
      </c>
      <c r="X48" s="134">
        <v>-300</v>
      </c>
    </row>
    <row r="49" ht="45.65" customHeight="1" spans="1:24" x14ac:dyDescent="0.25">
      <c r="A49" s="121">
        <v>53</v>
      </c>
      <c r="B49" s="122">
        <v>2053</v>
      </c>
      <c r="C49" s="153" t="s">
        <v>172</v>
      </c>
      <c r="D49" s="154"/>
      <c r="E49" s="154" t="s">
        <v>171</v>
      </c>
      <c r="F49" s="155"/>
      <c r="G49" s="157">
        <v>600</v>
      </c>
      <c r="H49" s="125">
        <v>26</v>
      </c>
      <c r="I49" s="125">
        <v>0</v>
      </c>
      <c r="J49" s="126">
        <f t="shared" si="0"/>
        <v>600</v>
      </c>
      <c r="K49" s="126">
        <v>0</v>
      </c>
      <c r="L49" s="126">
        <v>0</v>
      </c>
      <c r="M49" s="126">
        <v>0</v>
      </c>
      <c r="N49" s="126">
        <v>-600</v>
      </c>
      <c r="O49" s="126">
        <f t="shared" si="1"/>
        <v>0</v>
      </c>
      <c r="P49" s="126">
        <v>0</v>
      </c>
      <c r="Q49" s="151">
        <v>0</v>
      </c>
      <c r="R49" s="126">
        <v>0</v>
      </c>
      <c r="S49" s="152">
        <v>0</v>
      </c>
      <c r="T49" s="127">
        <f t="shared" si="2"/>
        <v>0</v>
      </c>
      <c r="U49" s="131" t="s">
        <v>57</v>
      </c>
      <c r="W49" s="132">
        <v>600</v>
      </c>
      <c r="X49" s="134">
        <v>-600</v>
      </c>
    </row>
    <row r="50" ht="45.65" customHeight="1" spans="1:24" x14ac:dyDescent="0.25">
      <c r="A50" s="121">
        <v>54</v>
      </c>
      <c r="B50" s="122">
        <v>2054</v>
      </c>
      <c r="C50" s="155"/>
      <c r="D50" s="154"/>
      <c r="E50" s="154"/>
      <c r="F50" s="155"/>
      <c r="G50" s="157"/>
      <c r="H50" s="125">
        <v>26</v>
      </c>
      <c r="I50" s="125">
        <v>0</v>
      </c>
      <c r="J50" s="126">
        <f t="shared" si="0"/>
        <v>0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2"/>
        <v>0</v>
      </c>
      <c r="U50" s="128"/>
      <c r="W50" s="132"/>
      <c r="X50" s="134"/>
    </row>
    <row r="51" ht="45.65" customHeight="1" spans="1:24" x14ac:dyDescent="0.25">
      <c r="A51" s="121">
        <v>55</v>
      </c>
      <c r="B51" s="122">
        <v>2055</v>
      </c>
      <c r="C51" s="155"/>
      <c r="D51" s="154"/>
      <c r="E51" s="154"/>
      <c r="F51" s="155"/>
      <c r="G51" s="157"/>
      <c r="H51" s="125">
        <v>26</v>
      </c>
      <c r="I51" s="125">
        <v>0</v>
      </c>
      <c r="J51" s="126">
        <f t="shared" si="0"/>
        <v>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0</v>
      </c>
      <c r="U51" s="128"/>
      <c r="W51" s="132"/>
      <c r="X51" s="134"/>
    </row>
    <row r="52" ht="45.65" customHeight="1" spans="1:24" x14ac:dyDescent="0.25">
      <c r="A52" s="158">
        <v>56</v>
      </c>
      <c r="B52" s="159">
        <v>2056</v>
      </c>
      <c r="C52" s="160"/>
      <c r="D52" s="161"/>
      <c r="E52" s="161"/>
      <c r="F52" s="160"/>
      <c r="G52" s="162"/>
      <c r="H52" s="163">
        <v>26</v>
      </c>
      <c r="I52" s="163">
        <v>0</v>
      </c>
      <c r="J52" s="164">
        <f t="shared" si="0"/>
        <v>0</v>
      </c>
      <c r="K52" s="164">
        <v>0</v>
      </c>
      <c r="L52" s="164">
        <v>0</v>
      </c>
      <c r="M52" s="164">
        <v>0</v>
      </c>
      <c r="N52" s="164">
        <v>0</v>
      </c>
      <c r="O52" s="164">
        <f t="shared" si="1"/>
        <v>0</v>
      </c>
      <c r="P52" s="164">
        <v>0</v>
      </c>
      <c r="Q52" s="164">
        <v>0</v>
      </c>
      <c r="R52" s="164">
        <v>0</v>
      </c>
      <c r="S52" s="164">
        <v>0</v>
      </c>
      <c r="T52" s="165">
        <f t="shared" si="2"/>
        <v>0</v>
      </c>
      <c r="U52" s="166"/>
      <c r="W52" s="132"/>
      <c r="X52" s="134"/>
    </row>
    <row r="53" ht="50.15" customHeight="1" spans="1:24" x14ac:dyDescent="0.25">
      <c r="A53" s="143" t="s">
        <v>26</v>
      </c>
      <c r="B53" s="144"/>
      <c r="C53" s="144"/>
      <c r="D53" s="144"/>
      <c r="E53" s="144"/>
      <c r="F53" s="144"/>
      <c r="G53" s="144"/>
      <c r="H53" s="144"/>
      <c r="I53" s="145"/>
      <c r="J53" s="146">
        <f t="shared" ref="J53:T53" si="9">SUBTOTAL(9,J6:J52)</f>
        <v>12983.2</v>
      </c>
      <c r="K53" s="146">
        <f t="shared" si="9"/>
        <v>0</v>
      </c>
      <c r="L53" s="146">
        <f t="shared" si="9"/>
        <v>0</v>
      </c>
      <c r="M53" s="146">
        <f t="shared" si="9"/>
        <v>0</v>
      </c>
      <c r="N53" s="146">
        <f t="shared" si="9"/>
        <v>-976.3</v>
      </c>
      <c r="O53" s="146">
        <f t="shared" si="9"/>
        <v>12006.900000000001</v>
      </c>
      <c r="P53" s="146">
        <f t="shared" si="9"/>
        <v>0</v>
      </c>
      <c r="Q53" s="146">
        <f t="shared" si="9"/>
        <v>113.98000000000002</v>
      </c>
      <c r="R53" s="146">
        <f t="shared" si="9"/>
        <v>150</v>
      </c>
      <c r="S53" s="167">
        <f t="shared" si="9"/>
        <v>0</v>
      </c>
      <c r="T53" s="147">
        <f t="shared" si="9"/>
        <v>11742.920000000002</v>
      </c>
      <c r="U53" s="146"/>
      <c r="W53" s="146">
        <f t="shared" ref="W53:X53" si="10">SUBTOTAL(9,W6:W52)</f>
        <v>2100</v>
      </c>
      <c r="X53" s="146">
        <f t="shared" si="10"/>
        <v>-1276.3</v>
      </c>
    </row>
    <row r="56" spans="15:15" x14ac:dyDescent="0.25">
      <c r="O56" s="148"/>
    </row>
    <row r="57" spans="15:15" x14ac:dyDescent="0.25">
      <c r="O57" s="148">
        <f>O53-Q53</f>
        <v>11892.920000000002</v>
      </c>
    </row>
    <row r="58" spans="15:15" x14ac:dyDescent="0.25">
      <c r="O58" s="148"/>
    </row>
    <row r="59" spans="15:15" x14ac:dyDescent="0.25">
      <c r="O59" s="148"/>
    </row>
    <row r="60" spans="20:20" x14ac:dyDescent="0.25">
      <c r="T60" t="s">
        <v>173</v>
      </c>
    </row>
  </sheetData>
  <autoFilter ref="A5:X52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53:I53"/>
  </mergeCells>
  <conditionalFormatting sqref="C6:C52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0"/>
  <sheetViews>
    <sheetView workbookViewId="0" zoomScale="60" zoomScaleNormal="60">
      <pane ySplit="5" topLeftCell="A16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6" x14ac:dyDescent="0.25">
      <c r="A6" s="121">
        <v>1</v>
      </c>
      <c r="B6" s="122">
        <v>2001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2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  <c r="Z6" t="s">
        <v>174</v>
      </c>
    </row>
    <row r="7" ht="45.65" customHeight="1" spans="1:26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2" si="1">J7+K7+L7+M7+N7</f>
        <v>150</v>
      </c>
      <c r="P7" s="126">
        <v>0</v>
      </c>
      <c r="Q7" s="126">
        <v>0</v>
      </c>
      <c r="R7" s="126">
        <v>0</v>
      </c>
      <c r="S7" s="126">
        <v>0</v>
      </c>
      <c r="T7" s="127">
        <f>O7-P7-Q7-R7-S7</f>
        <v>150</v>
      </c>
      <c r="U7" s="128"/>
      <c r="W7" s="128"/>
      <c r="X7" s="128"/>
      <c r="Z7" t="s">
        <v>174</v>
      </c>
    </row>
    <row r="8" ht="45.65" customHeight="1" spans="1:26" x14ac:dyDescent="0.25">
      <c r="A8" s="121">
        <v>4</v>
      </c>
      <c r="B8" s="122">
        <v>2004</v>
      </c>
      <c r="C8" s="123" t="s">
        <v>103</v>
      </c>
      <c r="D8" s="124" t="s">
        <v>97</v>
      </c>
      <c r="E8" s="124" t="s">
        <v>98</v>
      </c>
      <c r="F8" s="123" t="s">
        <v>104</v>
      </c>
      <c r="G8" s="122">
        <v>255</v>
      </c>
      <c r="H8" s="125">
        <v>26</v>
      </c>
      <c r="I8" s="125">
        <v>0</v>
      </c>
      <c r="J8" s="126">
        <f t="shared" si="0"/>
        <v>255.00000000000003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255.00000000000003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52" si="2">O8-P8-Q8-R8-S8</f>
        <v>255.00000000000003</v>
      </c>
      <c r="U8" s="132"/>
      <c r="W8" s="132"/>
      <c r="X8" s="132"/>
      <c r="Z8" t="s">
        <v>174</v>
      </c>
    </row>
    <row r="9" ht="45.65" customHeight="1" spans="1:26" x14ac:dyDescent="0.25">
      <c r="A9" s="121">
        <v>5</v>
      </c>
      <c r="B9" s="122">
        <v>2005</v>
      </c>
      <c r="C9" s="123" t="s">
        <v>105</v>
      </c>
      <c r="D9" s="124" t="s">
        <v>106</v>
      </c>
      <c r="E9" s="124" t="s">
        <v>98</v>
      </c>
      <c r="F9" s="123" t="s">
        <v>107</v>
      </c>
      <c r="G9" s="122">
        <v>150</v>
      </c>
      <c r="H9" s="125">
        <v>26</v>
      </c>
      <c r="I9" s="125">
        <v>0</v>
      </c>
      <c r="J9" s="126">
        <f t="shared" si="0"/>
        <v>150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150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150</v>
      </c>
      <c r="U9" s="132"/>
      <c r="W9" s="132"/>
      <c r="X9" s="132"/>
      <c r="Z9" t="s">
        <v>174</v>
      </c>
    </row>
    <row r="10" ht="45.65" customHeight="1" spans="1:26" x14ac:dyDescent="0.25">
      <c r="A10" s="121">
        <v>6</v>
      </c>
      <c r="B10" s="122">
        <v>2006</v>
      </c>
      <c r="C10" s="123" t="s">
        <v>108</v>
      </c>
      <c r="D10" s="124" t="s">
        <v>109</v>
      </c>
      <c r="E10" s="124" t="s">
        <v>110</v>
      </c>
      <c r="F10" s="123"/>
      <c r="G10" s="122">
        <v>430</v>
      </c>
      <c r="H10" s="125">
        <v>26</v>
      </c>
      <c r="I10" s="125">
        <v>0</v>
      </c>
      <c r="J10" s="126">
        <f t="shared" si="0"/>
        <v>430.00000000000006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430.00000000000006</v>
      </c>
      <c r="P10" s="126">
        <v>0</v>
      </c>
      <c r="Q10" s="126">
        <v>0.72</v>
      </c>
      <c r="R10" s="126">
        <v>0</v>
      </c>
      <c r="S10" s="126">
        <v>0</v>
      </c>
      <c r="T10" s="127">
        <f t="shared" si="2"/>
        <v>429.28000000000003</v>
      </c>
      <c r="U10" s="132"/>
      <c r="W10" s="132"/>
      <c r="X10" s="132"/>
      <c r="Z10" t="s">
        <v>174</v>
      </c>
    </row>
    <row r="11" ht="45.65" customHeight="1" spans="1:26" x14ac:dyDescent="0.25">
      <c r="A11" s="121">
        <v>7</v>
      </c>
      <c r="B11" s="122">
        <v>2007</v>
      </c>
      <c r="C11" s="123" t="s">
        <v>111</v>
      </c>
      <c r="D11" s="124" t="s">
        <v>97</v>
      </c>
      <c r="E11" s="124" t="s">
        <v>98</v>
      </c>
      <c r="F11" s="123" t="s">
        <v>54</v>
      </c>
      <c r="G11" s="122">
        <v>240</v>
      </c>
      <c r="H11" s="125">
        <v>26</v>
      </c>
      <c r="I11" s="125">
        <v>0</v>
      </c>
      <c r="J11" s="126">
        <f t="shared" si="0"/>
        <v>239.99999999999997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239.99999999999997</v>
      </c>
      <c r="P11" s="126">
        <v>0</v>
      </c>
      <c r="Q11" s="126">
        <v>0.43</v>
      </c>
      <c r="R11" s="126">
        <v>50</v>
      </c>
      <c r="S11" s="126">
        <v>0</v>
      </c>
      <c r="T11" s="127">
        <f t="shared" si="2"/>
        <v>189.56999999999996</v>
      </c>
      <c r="U11" s="149"/>
      <c r="W11" s="132"/>
      <c r="X11" s="132"/>
      <c r="Z11" t="s">
        <v>174</v>
      </c>
    </row>
    <row r="12" ht="45.65" customHeight="1" spans="1:26" x14ac:dyDescent="0.25">
      <c r="A12" s="121">
        <v>8</v>
      </c>
      <c r="B12" s="122">
        <v>2008</v>
      </c>
      <c r="C12" s="123" t="s">
        <v>112</v>
      </c>
      <c r="D12" s="124" t="s">
        <v>97</v>
      </c>
      <c r="E12" s="124" t="s">
        <v>101</v>
      </c>
      <c r="F12" s="123" t="s">
        <v>113</v>
      </c>
      <c r="G12" s="122">
        <v>330</v>
      </c>
      <c r="H12" s="125">
        <v>26</v>
      </c>
      <c r="I12" s="125">
        <v>0</v>
      </c>
      <c r="J12" s="126">
        <f t="shared" si="0"/>
        <v>330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330</v>
      </c>
      <c r="P12" s="126">
        <v>0</v>
      </c>
      <c r="Q12" s="126">
        <v>0</v>
      </c>
      <c r="R12" s="126">
        <v>0</v>
      </c>
      <c r="S12" s="126">
        <v>0</v>
      </c>
      <c r="T12" s="127">
        <f t="shared" si="2"/>
        <v>330</v>
      </c>
      <c r="U12" s="132"/>
      <c r="W12" s="132"/>
      <c r="X12" s="132"/>
      <c r="Z12" t="s">
        <v>174</v>
      </c>
    </row>
    <row r="13" ht="45.65" customHeight="1" spans="1:26" x14ac:dyDescent="0.25">
      <c r="A13" s="121">
        <v>9</v>
      </c>
      <c r="B13" s="122">
        <v>2009</v>
      </c>
      <c r="C13" s="123" t="s">
        <v>114</v>
      </c>
      <c r="D13" s="124" t="s">
        <v>100</v>
      </c>
      <c r="E13" s="124" t="s">
        <v>98</v>
      </c>
      <c r="F13" s="123" t="s">
        <v>59</v>
      </c>
      <c r="G13" s="122">
        <v>160</v>
      </c>
      <c r="H13" s="125">
        <v>26</v>
      </c>
      <c r="I13" s="125">
        <v>0</v>
      </c>
      <c r="J13" s="126">
        <f t="shared" si="0"/>
        <v>160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160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160</v>
      </c>
      <c r="U13" s="132"/>
      <c r="W13" s="132"/>
      <c r="X13" s="132"/>
      <c r="Z13" t="s">
        <v>174</v>
      </c>
    </row>
    <row r="14" ht="45.65" customHeight="1" spans="1:26" x14ac:dyDescent="0.25">
      <c r="A14" s="121">
        <v>9</v>
      </c>
      <c r="B14" s="122">
        <v>2009</v>
      </c>
      <c r="C14" s="123" t="s">
        <v>115</v>
      </c>
      <c r="D14" s="124" t="s">
        <v>116</v>
      </c>
      <c r="E14" s="124" t="s">
        <v>98</v>
      </c>
      <c r="F14" s="123" t="s">
        <v>59</v>
      </c>
      <c r="G14" s="122">
        <v>155</v>
      </c>
      <c r="H14" s="125">
        <v>26</v>
      </c>
      <c r="I14" s="125">
        <v>0</v>
      </c>
      <c r="J14" s="126">
        <f t="shared" si="0"/>
        <v>155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155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155</v>
      </c>
      <c r="U14" s="132"/>
      <c r="W14" s="132"/>
      <c r="X14" s="132"/>
      <c r="Z14" t="s">
        <v>174</v>
      </c>
    </row>
    <row r="15" ht="45.65" customHeight="1" spans="1:26" x14ac:dyDescent="0.25">
      <c r="A15" s="121">
        <v>10</v>
      </c>
      <c r="B15" s="122">
        <v>2010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200</v>
      </c>
      <c r="U15" s="132"/>
      <c r="W15" s="132"/>
      <c r="X15" s="132"/>
      <c r="Z15" t="s">
        <v>174</v>
      </c>
    </row>
    <row r="16" ht="45.65" customHeight="1" spans="1:26" x14ac:dyDescent="0.25">
      <c r="A16" s="121">
        <v>11</v>
      </c>
      <c r="B16" s="122">
        <v>2011</v>
      </c>
      <c r="C16" s="123" t="s">
        <v>119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430.00000000000006</v>
      </c>
      <c r="U16" s="132"/>
      <c r="W16" s="132"/>
      <c r="X16" s="132"/>
      <c r="Z16" t="s">
        <v>174</v>
      </c>
    </row>
    <row r="17" ht="45.65" customHeight="1" spans="1:26" x14ac:dyDescent="0.25">
      <c r="A17" s="121">
        <v>12</v>
      </c>
      <c r="B17" s="122">
        <v>2012</v>
      </c>
      <c r="C17" s="123" t="s">
        <v>122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2"/>
        <v>450</v>
      </c>
      <c r="U17" s="132"/>
      <c r="W17" s="132"/>
      <c r="X17" s="132"/>
      <c r="Z17" t="s">
        <v>174</v>
      </c>
    </row>
    <row r="18" ht="45.65" customHeight="1" spans="1:26" x14ac:dyDescent="0.25">
      <c r="A18" s="121">
        <v>13</v>
      </c>
      <c r="B18" s="122">
        <v>2013</v>
      </c>
      <c r="C18" s="123" t="s">
        <v>124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600</v>
      </c>
      <c r="U18" s="132"/>
      <c r="W18" s="132"/>
      <c r="X18" s="132"/>
      <c r="Z18" t="s">
        <v>174</v>
      </c>
    </row>
    <row r="19" ht="45.65" customHeight="1" spans="1:26" x14ac:dyDescent="0.25">
      <c r="A19" s="121">
        <v>14</v>
      </c>
      <c r="B19" s="122">
        <v>2014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300</v>
      </c>
      <c r="U19" s="132"/>
      <c r="W19" s="132"/>
      <c r="X19" s="132"/>
      <c r="Z19" t="s">
        <v>174</v>
      </c>
    </row>
    <row r="20" ht="45.65" customHeight="1" spans="1:26" x14ac:dyDescent="0.25">
      <c r="A20" s="121">
        <v>14</v>
      </c>
      <c r="B20" s="122">
        <v>2014</v>
      </c>
      <c r="C20" s="123" t="s">
        <v>128</v>
      </c>
      <c r="D20" s="124" t="s">
        <v>97</v>
      </c>
      <c r="E20" s="124" t="s">
        <v>98</v>
      </c>
      <c r="F20" s="123"/>
      <c r="G20" s="122">
        <v>200</v>
      </c>
      <c r="H20" s="125">
        <v>26</v>
      </c>
      <c r="I20" s="125">
        <v>0</v>
      </c>
      <c r="J20" s="126">
        <f t="shared" si="0"/>
        <v>200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200</v>
      </c>
      <c r="P20" s="126">
        <v>0</v>
      </c>
      <c r="Q20" s="126">
        <v>83.65</v>
      </c>
      <c r="R20" s="126">
        <v>0</v>
      </c>
      <c r="S20" s="126">
        <v>0</v>
      </c>
      <c r="T20" s="127">
        <f t="shared" si="2"/>
        <v>116.35</v>
      </c>
      <c r="U20" s="132"/>
      <c r="W20" s="132"/>
      <c r="X20" s="132"/>
      <c r="Z20" t="s">
        <v>174</v>
      </c>
    </row>
    <row r="21" ht="45.65" customHeight="1" spans="1:26" x14ac:dyDescent="0.25">
      <c r="A21" s="121">
        <v>15</v>
      </c>
      <c r="B21" s="122">
        <v>2015</v>
      </c>
      <c r="C21" s="123" t="s">
        <v>129</v>
      </c>
      <c r="D21" s="124" t="s">
        <v>116</v>
      </c>
      <c r="E21" s="124" t="s">
        <v>110</v>
      </c>
      <c r="F21" s="123"/>
      <c r="G21" s="122">
        <v>250</v>
      </c>
      <c r="H21" s="125">
        <v>26</v>
      </c>
      <c r="I21" s="125">
        <v>0</v>
      </c>
      <c r="J21" s="126">
        <f t="shared" si="0"/>
        <v>250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250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2"/>
        <v>250</v>
      </c>
      <c r="U21" s="132"/>
      <c r="W21" s="133"/>
      <c r="X21" s="134"/>
      <c r="Z21" t="s">
        <v>174</v>
      </c>
    </row>
    <row r="22" ht="45.65" customHeight="1" spans="1:26" x14ac:dyDescent="0.25">
      <c r="A22" s="121">
        <v>16</v>
      </c>
      <c r="B22" s="122">
        <v>2016</v>
      </c>
      <c r="C22" s="123" t="s">
        <v>130</v>
      </c>
      <c r="D22" s="124" t="s">
        <v>131</v>
      </c>
      <c r="E22" s="124" t="s">
        <v>98</v>
      </c>
      <c r="F22" s="123"/>
      <c r="G22" s="122">
        <v>100</v>
      </c>
      <c r="H22" s="125">
        <v>26</v>
      </c>
      <c r="I22" s="125">
        <v>0</v>
      </c>
      <c r="J22" s="126">
        <f t="shared" si="0"/>
        <v>100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100</v>
      </c>
      <c r="P22" s="126">
        <v>0</v>
      </c>
      <c r="Q22" s="126">
        <v>0</v>
      </c>
      <c r="R22" s="126">
        <v>0</v>
      </c>
      <c r="S22" s="126">
        <v>0</v>
      </c>
      <c r="T22" s="127">
        <f t="shared" si="2"/>
        <v>100</v>
      </c>
      <c r="U22" s="132"/>
      <c r="W22" s="132"/>
      <c r="X22" s="132"/>
      <c r="Z22" t="s">
        <v>174</v>
      </c>
    </row>
    <row r="23" ht="45.65" customHeight="1" spans="1:26" x14ac:dyDescent="0.25">
      <c r="A23" s="121">
        <v>17</v>
      </c>
      <c r="B23" s="122">
        <v>2017</v>
      </c>
      <c r="C23" s="123" t="s">
        <v>132</v>
      </c>
      <c r="D23" s="124" t="s">
        <v>97</v>
      </c>
      <c r="E23" s="124" t="s">
        <v>110</v>
      </c>
      <c r="F23" s="123" t="s">
        <v>133</v>
      </c>
      <c r="G23" s="122">
        <v>450</v>
      </c>
      <c r="H23" s="125">
        <v>26</v>
      </c>
      <c r="I23" s="125">
        <v>0</v>
      </c>
      <c r="J23" s="126">
        <f t="shared" si="0"/>
        <v>450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450</v>
      </c>
      <c r="P23" s="126">
        <v>0</v>
      </c>
      <c r="Q23" s="126">
        <v>0</v>
      </c>
      <c r="R23" s="126">
        <v>50</v>
      </c>
      <c r="S23" s="126">
        <v>0</v>
      </c>
      <c r="T23" s="127">
        <f t="shared" si="2"/>
        <v>400</v>
      </c>
      <c r="U23" s="132"/>
      <c r="W23" s="132"/>
      <c r="X23" s="132"/>
      <c r="Z23" t="s">
        <v>174</v>
      </c>
    </row>
    <row r="24" ht="45.65" customHeight="1" spans="1:26" x14ac:dyDescent="0.25">
      <c r="A24" s="121">
        <v>18</v>
      </c>
      <c r="B24" s="122">
        <v>2018</v>
      </c>
      <c r="C24" s="123" t="s">
        <v>134</v>
      </c>
      <c r="D24" s="124" t="s">
        <v>97</v>
      </c>
      <c r="E24" s="124" t="s">
        <v>98</v>
      </c>
      <c r="F24" s="123" t="s">
        <v>135</v>
      </c>
      <c r="G24" s="122">
        <v>300</v>
      </c>
      <c r="H24" s="125">
        <v>26</v>
      </c>
      <c r="I24" s="125">
        <v>0</v>
      </c>
      <c r="J24" s="126">
        <f t="shared" si="0"/>
        <v>300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300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300</v>
      </c>
      <c r="U24" s="132"/>
      <c r="W24" s="132"/>
      <c r="X24" s="132"/>
      <c r="Z24" t="s">
        <v>174</v>
      </c>
    </row>
    <row r="25" ht="45.65" customHeight="1" spans="1:26" x14ac:dyDescent="0.25">
      <c r="A25" s="121">
        <v>19</v>
      </c>
      <c r="B25" s="122">
        <v>2019</v>
      </c>
      <c r="C25" s="123" t="s">
        <v>136</v>
      </c>
      <c r="D25" s="124" t="s">
        <v>109</v>
      </c>
      <c r="E25" s="124" t="s">
        <v>98</v>
      </c>
      <c r="F25" s="123" t="s">
        <v>137</v>
      </c>
      <c r="G25" s="122">
        <v>50</v>
      </c>
      <c r="H25" s="125">
        <v>26</v>
      </c>
      <c r="I25" s="125">
        <v>0</v>
      </c>
      <c r="J25" s="126">
        <f t="shared" si="0"/>
        <v>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2"/>
        <v>50</v>
      </c>
      <c r="U25" s="132"/>
      <c r="W25" s="132"/>
      <c r="X25" s="132"/>
      <c r="Z25" t="s">
        <v>174</v>
      </c>
    </row>
    <row r="26" ht="45.65" customHeight="1" spans="1:26" x14ac:dyDescent="0.25">
      <c r="A26" s="121">
        <v>20</v>
      </c>
      <c r="B26" s="122">
        <v>2020</v>
      </c>
      <c r="C26" s="123" t="s">
        <v>138</v>
      </c>
      <c r="D26" s="124" t="s">
        <v>109</v>
      </c>
      <c r="E26" s="124" t="s">
        <v>98</v>
      </c>
      <c r="F26" s="123" t="s">
        <v>139</v>
      </c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150</v>
      </c>
      <c r="U26" s="132"/>
      <c r="W26" s="132"/>
      <c r="X26" s="132"/>
      <c r="Z26" t="s">
        <v>174</v>
      </c>
    </row>
    <row r="27" ht="45.65" customHeight="1" spans="1:26" x14ac:dyDescent="0.25">
      <c r="A27" s="121">
        <v>21</v>
      </c>
      <c r="B27" s="122">
        <v>2021</v>
      </c>
      <c r="C27" s="123" t="s">
        <v>140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150</v>
      </c>
      <c r="U27" s="132"/>
      <c r="W27" s="132"/>
      <c r="X27" s="132"/>
      <c r="Z27" t="s">
        <v>174</v>
      </c>
    </row>
    <row r="28" ht="45.65" customHeight="1" spans="1:26" x14ac:dyDescent="0.25">
      <c r="A28" s="121">
        <v>22</v>
      </c>
      <c r="B28" s="122">
        <v>2022</v>
      </c>
      <c r="C28" s="123" t="s">
        <v>142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150</v>
      </c>
      <c r="U28" s="132"/>
      <c r="W28" s="132"/>
      <c r="X28" s="132"/>
      <c r="Z28" t="s">
        <v>174</v>
      </c>
    </row>
    <row r="29" ht="45.65" customHeight="1" spans="1:26" x14ac:dyDescent="0.25">
      <c r="A29" s="121">
        <v>23</v>
      </c>
      <c r="B29" s="122">
        <v>2023</v>
      </c>
      <c r="C29" s="123" t="s">
        <v>143</v>
      </c>
      <c r="D29" s="124" t="s">
        <v>116</v>
      </c>
      <c r="E29" s="124" t="s">
        <v>98</v>
      </c>
      <c r="F29" s="123"/>
      <c r="G29" s="122">
        <v>100</v>
      </c>
      <c r="H29" s="125">
        <v>26</v>
      </c>
      <c r="I29" s="125">
        <v>0</v>
      </c>
      <c r="J29" s="126">
        <f t="shared" si="0"/>
        <v>100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100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100</v>
      </c>
      <c r="U29" s="132"/>
      <c r="W29" s="132"/>
      <c r="X29" s="132"/>
      <c r="Z29" t="s">
        <v>174</v>
      </c>
    </row>
    <row r="30" ht="45.65" customHeight="1" spans="1:26" x14ac:dyDescent="0.25">
      <c r="A30" s="121">
        <v>24</v>
      </c>
      <c r="B30" s="122">
        <v>2024</v>
      </c>
      <c r="C30" s="123" t="s">
        <v>144</v>
      </c>
      <c r="D30" s="124" t="s">
        <v>141</v>
      </c>
      <c r="E30" s="124" t="s">
        <v>98</v>
      </c>
      <c r="F30" s="123" t="s">
        <v>69</v>
      </c>
      <c r="G30" s="122">
        <v>80</v>
      </c>
      <c r="H30" s="125">
        <v>26</v>
      </c>
      <c r="I30" s="125">
        <v>0</v>
      </c>
      <c r="J30" s="126">
        <f t="shared" si="0"/>
        <v>80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80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80</v>
      </c>
      <c r="U30" s="132"/>
      <c r="W30" s="132"/>
      <c r="X30" s="132"/>
      <c r="Z30" t="s">
        <v>174</v>
      </c>
    </row>
    <row r="31" ht="45.65" customHeight="1" spans="1:26" x14ac:dyDescent="0.25">
      <c r="A31" s="121">
        <v>25</v>
      </c>
      <c r="B31" s="122">
        <v>2025</v>
      </c>
      <c r="C31" s="123" t="s">
        <v>145</v>
      </c>
      <c r="D31" s="124" t="s">
        <v>97</v>
      </c>
      <c r="E31" s="124" t="s">
        <v>146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150</v>
      </c>
      <c r="U31" s="132"/>
      <c r="W31" s="132"/>
      <c r="X31" s="132"/>
      <c r="Z31" t="s">
        <v>174</v>
      </c>
    </row>
    <row r="32" ht="45.65" customHeight="1" spans="1:26" x14ac:dyDescent="0.25">
      <c r="A32" s="121">
        <v>26</v>
      </c>
      <c r="B32" s="122">
        <v>2026</v>
      </c>
      <c r="C32" s="123" t="s">
        <v>147</v>
      </c>
      <c r="D32" s="124" t="s">
        <v>141</v>
      </c>
      <c r="E32" s="124" t="s">
        <v>110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150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150</v>
      </c>
      <c r="U32" s="132"/>
      <c r="W32" s="132"/>
      <c r="X32" s="132"/>
      <c r="Z32" t="s">
        <v>174</v>
      </c>
    </row>
    <row r="33" ht="45.65" customHeight="1" spans="1:26" x14ac:dyDescent="0.25">
      <c r="A33" s="121">
        <v>27</v>
      </c>
      <c r="B33" s="122">
        <v>2027</v>
      </c>
      <c r="C33" s="123" t="s">
        <v>148</v>
      </c>
      <c r="D33" s="124" t="s">
        <v>116</v>
      </c>
      <c r="E33" s="124" t="s">
        <v>110</v>
      </c>
      <c r="F33" s="123"/>
      <c r="G33" s="122">
        <v>200</v>
      </c>
      <c r="H33" s="125">
        <v>26</v>
      </c>
      <c r="I33" s="125">
        <v>0</v>
      </c>
      <c r="J33" s="126">
        <f t="shared" si="0"/>
        <v>200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200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2"/>
        <v>200</v>
      </c>
      <c r="U33" s="132"/>
      <c r="W33" s="132"/>
      <c r="X33" s="132"/>
      <c r="Z33" t="s">
        <v>174</v>
      </c>
    </row>
    <row r="34" ht="45.65" customHeight="1" spans="1:26" x14ac:dyDescent="0.25">
      <c r="A34" s="121">
        <v>28</v>
      </c>
      <c r="B34" s="122">
        <v>2028</v>
      </c>
      <c r="C34" s="123" t="s">
        <v>149</v>
      </c>
      <c r="D34" s="124" t="s">
        <v>116</v>
      </c>
      <c r="E34" s="124" t="s">
        <v>98</v>
      </c>
      <c r="F34" s="123"/>
      <c r="G34" s="122">
        <v>250</v>
      </c>
      <c r="H34" s="125">
        <v>26</v>
      </c>
      <c r="I34" s="125">
        <v>0</v>
      </c>
      <c r="J34" s="126">
        <f t="shared" si="0"/>
        <v>250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250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250</v>
      </c>
      <c r="U34" s="132"/>
      <c r="W34" s="132"/>
      <c r="X34" s="134"/>
      <c r="Z34" t="s">
        <v>174</v>
      </c>
    </row>
    <row r="35" ht="45.65" customHeight="1" spans="1:26" x14ac:dyDescent="0.25">
      <c r="A35" s="121">
        <v>29</v>
      </c>
      <c r="B35" s="122">
        <v>2029</v>
      </c>
      <c r="C35" s="123" t="s">
        <v>150</v>
      </c>
      <c r="D35" s="124" t="s">
        <v>97</v>
      </c>
      <c r="E35" s="124" t="s">
        <v>98</v>
      </c>
      <c r="F35" s="123" t="s">
        <v>151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270</v>
      </c>
      <c r="U35" s="132"/>
      <c r="W35" s="132"/>
      <c r="X35" s="132"/>
      <c r="Z35" t="s">
        <v>174</v>
      </c>
    </row>
    <row r="36" ht="45.65" customHeight="1" spans="1:26" x14ac:dyDescent="0.25">
      <c r="A36" s="121">
        <v>30</v>
      </c>
      <c r="B36" s="122">
        <v>2030</v>
      </c>
      <c r="C36" s="123" t="s">
        <v>152</v>
      </c>
      <c r="D36" s="124" t="s">
        <v>97</v>
      </c>
      <c r="E36" s="124" t="s">
        <v>98</v>
      </c>
      <c r="F36" s="123" t="s">
        <v>153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50</v>
      </c>
      <c r="S36" s="126">
        <v>0</v>
      </c>
      <c r="T36" s="127">
        <f t="shared" si="2"/>
        <v>220</v>
      </c>
      <c r="U36" s="132"/>
      <c r="W36" s="132"/>
      <c r="X36" s="132"/>
      <c r="Z36" t="s">
        <v>174</v>
      </c>
    </row>
    <row r="37" ht="45.65" customHeight="1" spans="1:26" x14ac:dyDescent="0.25">
      <c r="A37" s="121">
        <v>31</v>
      </c>
      <c r="B37" s="122">
        <v>2031</v>
      </c>
      <c r="C37" s="123" t="s">
        <v>154</v>
      </c>
      <c r="D37" s="124" t="s">
        <v>100</v>
      </c>
      <c r="E37" s="124" t="s">
        <v>98</v>
      </c>
      <c r="F37" s="123"/>
      <c r="G37" s="122">
        <v>280</v>
      </c>
      <c r="H37" s="125">
        <v>26</v>
      </c>
      <c r="I37" s="125">
        <v>0</v>
      </c>
      <c r="J37" s="126">
        <f t="shared" si="0"/>
        <v>280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280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280</v>
      </c>
      <c r="U37" s="132"/>
      <c r="W37" s="132"/>
      <c r="X37" s="132"/>
      <c r="Z37" t="s">
        <v>174</v>
      </c>
    </row>
    <row r="38" ht="45.65" customHeight="1" spans="1:26" x14ac:dyDescent="0.25">
      <c r="A38" s="121">
        <v>32</v>
      </c>
      <c r="B38" s="122">
        <v>2032</v>
      </c>
      <c r="C38" s="123" t="s">
        <v>155</v>
      </c>
      <c r="D38" s="124" t="s">
        <v>97</v>
      </c>
      <c r="E38" s="124" t="s">
        <v>156</v>
      </c>
      <c r="F38" s="123" t="s">
        <v>157</v>
      </c>
      <c r="G38" s="122">
        <v>200</v>
      </c>
      <c r="H38" s="125">
        <v>26</v>
      </c>
      <c r="I38" s="125">
        <v>0</v>
      </c>
      <c r="J38" s="126">
        <f t="shared" si="0"/>
        <v>200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200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2"/>
        <v>200</v>
      </c>
      <c r="U38" s="132"/>
      <c r="W38" s="132"/>
      <c r="X38" s="132"/>
      <c r="Z38" t="s">
        <v>174</v>
      </c>
    </row>
    <row r="39" ht="45.65" customHeight="1" spans="1:26" x14ac:dyDescent="0.25">
      <c r="A39" s="121">
        <v>33</v>
      </c>
      <c r="B39" s="122">
        <v>2033</v>
      </c>
      <c r="C39" s="123" t="s">
        <v>158</v>
      </c>
      <c r="D39" s="124" t="s">
        <v>97</v>
      </c>
      <c r="E39" s="124" t="s">
        <v>98</v>
      </c>
      <c r="F39" s="123"/>
      <c r="G39" s="122">
        <v>600</v>
      </c>
      <c r="H39" s="125">
        <v>26</v>
      </c>
      <c r="I39" s="125">
        <v>0</v>
      </c>
      <c r="J39" s="126">
        <f t="shared" si="0"/>
        <v>600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600</v>
      </c>
      <c r="P39" s="126">
        <v>0</v>
      </c>
      <c r="Q39" s="151">
        <v>0</v>
      </c>
      <c r="R39" s="126">
        <v>0</v>
      </c>
      <c r="S39" s="152">
        <v>200</v>
      </c>
      <c r="T39" s="127">
        <f t="shared" si="2"/>
        <v>400</v>
      </c>
      <c r="U39" s="132" t="s">
        <v>57</v>
      </c>
      <c r="W39" s="132">
        <v>600</v>
      </c>
      <c r="X39" s="134">
        <v>-200</v>
      </c>
      <c r="Z39" t="s">
        <v>174</v>
      </c>
    </row>
    <row r="40" ht="45.65" customHeight="1" spans="1:26" x14ac:dyDescent="0.25">
      <c r="A40" s="121">
        <v>34</v>
      </c>
      <c r="B40" s="122">
        <v>2034</v>
      </c>
      <c r="C40" s="123" t="s">
        <v>159</v>
      </c>
      <c r="D40" s="124" t="s">
        <v>97</v>
      </c>
      <c r="E40" s="124" t="s">
        <v>156</v>
      </c>
      <c r="F40" s="123" t="s">
        <v>160</v>
      </c>
      <c r="G40" s="122">
        <v>450</v>
      </c>
      <c r="H40" s="125">
        <v>26</v>
      </c>
      <c r="I40" s="125">
        <v>0</v>
      </c>
      <c r="J40" s="126">
        <f t="shared" si="0"/>
        <v>450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450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2"/>
        <v>450</v>
      </c>
      <c r="U40" s="132"/>
      <c r="W40" s="132"/>
      <c r="X40" s="132"/>
      <c r="Z40" t="s">
        <v>174</v>
      </c>
    </row>
    <row r="41" ht="45.65" customHeight="1" spans="1:26" x14ac:dyDescent="0.25">
      <c r="A41" s="121">
        <v>35</v>
      </c>
      <c r="B41" s="122">
        <v>2035</v>
      </c>
      <c r="C41" s="123" t="s">
        <v>161</v>
      </c>
      <c r="D41" s="124" t="s">
        <v>97</v>
      </c>
      <c r="E41" s="124" t="s">
        <v>156</v>
      </c>
      <c r="F41" s="123" t="s">
        <v>162</v>
      </c>
      <c r="G41" s="122">
        <v>550</v>
      </c>
      <c r="H41" s="125">
        <v>26</v>
      </c>
      <c r="I41" s="125">
        <v>0</v>
      </c>
      <c r="J41" s="126">
        <f t="shared" si="0"/>
        <v>550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550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2"/>
        <v>550</v>
      </c>
      <c r="U41" s="132"/>
      <c r="W41" s="132"/>
      <c r="X41" s="132"/>
      <c r="Z41" t="s">
        <v>174</v>
      </c>
    </row>
    <row r="42" ht="45.65" customHeight="1" spans="1:26" x14ac:dyDescent="0.25">
      <c r="A42" s="121">
        <v>36</v>
      </c>
      <c r="B42" s="122">
        <v>2036</v>
      </c>
      <c r="C42" s="123" t="s">
        <v>163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2"/>
        <v>450</v>
      </c>
      <c r="U42" s="132"/>
      <c r="W42" s="132"/>
      <c r="X42" s="132"/>
      <c r="Z42" t="s">
        <v>174</v>
      </c>
    </row>
    <row r="43" ht="45.65" customHeight="1" spans="1:26" x14ac:dyDescent="0.25">
      <c r="A43" s="121">
        <v>37</v>
      </c>
      <c r="B43" s="122">
        <v>2037</v>
      </c>
      <c r="C43" s="123" t="s">
        <v>165</v>
      </c>
      <c r="D43" s="124" t="s">
        <v>97</v>
      </c>
      <c r="E43" s="124" t="s">
        <v>156</v>
      </c>
      <c r="F43" s="123" t="s">
        <v>164</v>
      </c>
      <c r="G43" s="122">
        <v>450</v>
      </c>
      <c r="H43" s="125">
        <v>26</v>
      </c>
      <c r="I43" s="125">
        <v>0</v>
      </c>
      <c r="J43" s="126">
        <f t="shared" si="0"/>
        <v>450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450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450</v>
      </c>
      <c r="U43" s="132"/>
      <c r="W43" s="132"/>
      <c r="X43" s="132"/>
      <c r="Z43" t="s">
        <v>174</v>
      </c>
    </row>
    <row r="44" ht="45.65" customHeight="1" spans="1:26" x14ac:dyDescent="0.25">
      <c r="A44" s="121">
        <v>38</v>
      </c>
      <c r="B44" s="122">
        <v>2038</v>
      </c>
      <c r="C44" s="123" t="s">
        <v>166</v>
      </c>
      <c r="D44" s="124" t="s">
        <v>100</v>
      </c>
      <c r="E44" s="124" t="s">
        <v>98</v>
      </c>
      <c r="F44" s="123" t="s">
        <v>167</v>
      </c>
      <c r="G44" s="122">
        <v>260</v>
      </c>
      <c r="H44" s="125">
        <v>26</v>
      </c>
      <c r="I44" s="125">
        <v>0</v>
      </c>
      <c r="J44" s="126">
        <f t="shared" si="0"/>
        <v>260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260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260</v>
      </c>
      <c r="U44" s="132"/>
      <c r="W44" s="132"/>
      <c r="X44" s="132"/>
      <c r="Z44" t="s">
        <v>174</v>
      </c>
    </row>
    <row r="45" ht="45.65" customHeight="1" spans="1:26" x14ac:dyDescent="0.25">
      <c r="A45" s="121">
        <v>39</v>
      </c>
      <c r="B45" s="122">
        <v>2039</v>
      </c>
      <c r="C45" s="123" t="s">
        <v>175</v>
      </c>
      <c r="D45" s="124" t="s">
        <v>97</v>
      </c>
      <c r="E45" s="124" t="s">
        <v>98</v>
      </c>
      <c r="F45" s="123" t="s">
        <v>59</v>
      </c>
      <c r="G45" s="122">
        <v>120</v>
      </c>
      <c r="H45" s="125">
        <v>26</v>
      </c>
      <c r="I45" s="125">
        <v>0</v>
      </c>
      <c r="J45" s="126">
        <f t="shared" si="0"/>
        <v>119.99999999999999</v>
      </c>
      <c r="K45" s="126">
        <v>0</v>
      </c>
      <c r="L45" s="126">
        <v>0</v>
      </c>
      <c r="M45" s="126">
        <v>0</v>
      </c>
      <c r="N45" s="126">
        <v>120</v>
      </c>
      <c r="O45" s="126">
        <f t="shared" si="1"/>
        <v>240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240</v>
      </c>
      <c r="U45" s="132"/>
      <c r="W45" s="132"/>
      <c r="X45" s="132"/>
      <c r="Z45" t="s">
        <v>174</v>
      </c>
    </row>
    <row r="46" ht="45.65" customHeight="1" spans="1:26" x14ac:dyDescent="0.25">
      <c r="A46" s="121">
        <v>50</v>
      </c>
      <c r="B46" s="122">
        <v>2050</v>
      </c>
      <c r="C46" s="153" t="s">
        <v>168</v>
      </c>
      <c r="D46" s="154" t="s">
        <v>97</v>
      </c>
      <c r="E46" s="154" t="s">
        <v>98</v>
      </c>
      <c r="F46" s="155"/>
      <c r="G46" s="156">
        <v>600</v>
      </c>
      <c r="H46" s="125">
        <v>26</v>
      </c>
      <c r="I46" s="125">
        <v>0</v>
      </c>
      <c r="J46" s="126">
        <f t="shared" si="0"/>
        <v>600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600</v>
      </c>
      <c r="P46" s="126">
        <v>0</v>
      </c>
      <c r="Q46" s="151">
        <v>0</v>
      </c>
      <c r="R46" s="126">
        <v>0</v>
      </c>
      <c r="S46" s="152">
        <v>176.3</v>
      </c>
      <c r="T46" s="127">
        <f t="shared" si="2"/>
        <v>423.7</v>
      </c>
      <c r="U46" s="132" t="s">
        <v>57</v>
      </c>
      <c r="W46" s="132">
        <v>600</v>
      </c>
      <c r="X46" s="134">
        <v>-176.3</v>
      </c>
      <c r="Z46" t="s">
        <v>174</v>
      </c>
    </row>
    <row r="47" ht="45.65" customHeight="1" spans="1:26" x14ac:dyDescent="0.25">
      <c r="A47" s="121">
        <v>51</v>
      </c>
      <c r="B47" s="122">
        <v>2051</v>
      </c>
      <c r="C47" s="153" t="s">
        <v>169</v>
      </c>
      <c r="D47" s="154" t="s">
        <v>97</v>
      </c>
      <c r="E47" s="154" t="s">
        <v>98</v>
      </c>
      <c r="F47" s="155"/>
      <c r="G47" s="156">
        <v>413.2</v>
      </c>
      <c r="H47" s="125">
        <v>26</v>
      </c>
      <c r="I47" s="125">
        <v>0</v>
      </c>
      <c r="J47" s="126">
        <f t="shared" si="0"/>
        <v>413.2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413.2</v>
      </c>
      <c r="P47" s="126">
        <v>0</v>
      </c>
      <c r="Q47" s="126">
        <v>2.5</v>
      </c>
      <c r="R47" s="126">
        <v>0</v>
      </c>
      <c r="S47" s="126">
        <v>0</v>
      </c>
      <c r="T47" s="127">
        <f t="shared" si="2"/>
        <v>410.7</v>
      </c>
      <c r="U47" s="132"/>
      <c r="W47" s="132"/>
      <c r="X47" s="134"/>
      <c r="Z47" t="s">
        <v>174</v>
      </c>
    </row>
    <row r="48" ht="45.65" customHeight="1" spans="1:26" x14ac:dyDescent="0.25">
      <c r="A48" s="121">
        <v>52</v>
      </c>
      <c r="B48" s="122">
        <v>2052</v>
      </c>
      <c r="C48" s="153" t="s">
        <v>170</v>
      </c>
      <c r="D48" s="154"/>
      <c r="E48" s="154" t="s">
        <v>171</v>
      </c>
      <c r="F48" s="155"/>
      <c r="G48" s="157">
        <v>300</v>
      </c>
      <c r="H48" s="125">
        <v>26</v>
      </c>
      <c r="I48" s="125">
        <v>0</v>
      </c>
      <c r="J48" s="126">
        <f t="shared" si="0"/>
        <v>300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300</v>
      </c>
      <c r="P48" s="126">
        <v>0</v>
      </c>
      <c r="Q48" s="151">
        <v>0</v>
      </c>
      <c r="R48" s="126">
        <v>0</v>
      </c>
      <c r="S48" s="152">
        <v>300</v>
      </c>
      <c r="T48" s="127">
        <f t="shared" si="2"/>
        <v>0</v>
      </c>
      <c r="U48" s="132" t="s">
        <v>57</v>
      </c>
      <c r="W48" s="132">
        <v>300</v>
      </c>
      <c r="X48" s="134">
        <v>-300</v>
      </c>
      <c r="Z48" t="s">
        <v>174</v>
      </c>
    </row>
    <row r="49" ht="45.65" customHeight="1" spans="1:26" x14ac:dyDescent="0.25">
      <c r="A49" s="121">
        <v>53</v>
      </c>
      <c r="B49" s="122">
        <v>2053</v>
      </c>
      <c r="C49" s="153" t="s">
        <v>172</v>
      </c>
      <c r="D49" s="154"/>
      <c r="E49" s="154" t="s">
        <v>171</v>
      </c>
      <c r="F49" s="155"/>
      <c r="G49" s="157">
        <v>600</v>
      </c>
      <c r="H49" s="125">
        <v>26</v>
      </c>
      <c r="I49" s="125">
        <v>0</v>
      </c>
      <c r="J49" s="126">
        <f t="shared" si="0"/>
        <v>600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600</v>
      </c>
      <c r="P49" s="126">
        <v>0</v>
      </c>
      <c r="Q49" s="151">
        <v>0</v>
      </c>
      <c r="R49" s="126">
        <v>0</v>
      </c>
      <c r="S49" s="152">
        <v>600</v>
      </c>
      <c r="T49" s="127">
        <f t="shared" si="2"/>
        <v>0</v>
      </c>
      <c r="U49" s="131" t="s">
        <v>57</v>
      </c>
      <c r="W49" s="132">
        <v>600</v>
      </c>
      <c r="X49" s="134">
        <v>-600</v>
      </c>
      <c r="Z49" t="s">
        <v>174</v>
      </c>
    </row>
    <row r="50" ht="45.65" customHeight="1" spans="1:24" x14ac:dyDescent="0.25">
      <c r="A50" s="121">
        <v>54</v>
      </c>
      <c r="B50" s="122">
        <v>2054</v>
      </c>
      <c r="C50" s="155"/>
      <c r="D50" s="154"/>
      <c r="E50" s="154"/>
      <c r="F50" s="155"/>
      <c r="G50" s="157"/>
      <c r="H50" s="125">
        <v>26</v>
      </c>
      <c r="I50" s="125">
        <v>0</v>
      </c>
      <c r="J50" s="126">
        <f t="shared" si="0"/>
        <v>0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2"/>
        <v>0</v>
      </c>
      <c r="U50" s="128"/>
      <c r="W50" s="132"/>
      <c r="X50" s="134"/>
    </row>
    <row r="51" ht="45.65" customHeight="1" spans="1:24" x14ac:dyDescent="0.25">
      <c r="A51" s="121">
        <v>55</v>
      </c>
      <c r="B51" s="122">
        <v>2055</v>
      </c>
      <c r="C51" s="155"/>
      <c r="D51" s="154"/>
      <c r="E51" s="154"/>
      <c r="F51" s="155"/>
      <c r="G51" s="157"/>
      <c r="H51" s="125">
        <v>26</v>
      </c>
      <c r="I51" s="125">
        <v>0</v>
      </c>
      <c r="J51" s="126">
        <f t="shared" si="0"/>
        <v>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0</v>
      </c>
      <c r="U51" s="128"/>
      <c r="W51" s="132"/>
      <c r="X51" s="134"/>
    </row>
    <row r="52" ht="45.65" customHeight="1" spans="1:24" x14ac:dyDescent="0.25">
      <c r="A52" s="158">
        <v>56</v>
      </c>
      <c r="B52" s="159">
        <v>2056</v>
      </c>
      <c r="C52" s="160"/>
      <c r="D52" s="161"/>
      <c r="E52" s="161"/>
      <c r="F52" s="160"/>
      <c r="G52" s="162"/>
      <c r="H52" s="163">
        <v>26</v>
      </c>
      <c r="I52" s="163">
        <v>0</v>
      </c>
      <c r="J52" s="164">
        <f t="shared" si="0"/>
        <v>0</v>
      </c>
      <c r="K52" s="164">
        <v>0</v>
      </c>
      <c r="L52" s="164">
        <v>0</v>
      </c>
      <c r="M52" s="164">
        <v>0</v>
      </c>
      <c r="N52" s="164">
        <v>0</v>
      </c>
      <c r="O52" s="164">
        <f t="shared" si="1"/>
        <v>0</v>
      </c>
      <c r="P52" s="164">
        <v>0</v>
      </c>
      <c r="Q52" s="164">
        <v>0</v>
      </c>
      <c r="R52" s="164">
        <v>0</v>
      </c>
      <c r="S52" s="164">
        <v>0</v>
      </c>
      <c r="T52" s="165">
        <f t="shared" si="2"/>
        <v>0</v>
      </c>
      <c r="U52" s="166"/>
      <c r="W52" s="132"/>
      <c r="X52" s="134"/>
    </row>
    <row r="53" ht="50.15" customHeight="1" spans="1:24" x14ac:dyDescent="0.25">
      <c r="A53" s="143" t="s">
        <v>26</v>
      </c>
      <c r="B53" s="144"/>
      <c r="C53" s="144"/>
      <c r="D53" s="144"/>
      <c r="E53" s="144"/>
      <c r="F53" s="144"/>
      <c r="G53" s="144"/>
      <c r="H53" s="144"/>
      <c r="I53" s="145"/>
      <c r="J53" s="146">
        <f t="shared" ref="J53:T53" si="3">SUBTOTAL(9,J6:J52)</f>
        <v>13093.2</v>
      </c>
      <c r="K53" s="146">
        <f t="shared" si="3"/>
        <v>0</v>
      </c>
      <c r="L53" s="146">
        <f t="shared" si="3"/>
        <v>0</v>
      </c>
      <c r="M53" s="146">
        <f t="shared" si="3"/>
        <v>0</v>
      </c>
      <c r="N53" s="146">
        <f t="shared" si="3"/>
        <v>420</v>
      </c>
      <c r="O53" s="146">
        <f t="shared" si="3"/>
        <v>13513.2</v>
      </c>
      <c r="P53" s="146">
        <f t="shared" si="3"/>
        <v>0</v>
      </c>
      <c r="Q53" s="146">
        <f t="shared" si="3"/>
        <v>87.30000000000001</v>
      </c>
      <c r="R53" s="146">
        <f t="shared" si="3"/>
        <v>150</v>
      </c>
      <c r="S53" s="167">
        <f t="shared" si="3"/>
        <v>1276.3</v>
      </c>
      <c r="T53" s="147">
        <f t="shared" si="3"/>
        <v>11999.600000000002</v>
      </c>
      <c r="U53" s="146"/>
      <c r="W53" s="146">
        <f t="shared" ref="W53:X53" si="4">SUBTOTAL(9,W6:W52)</f>
        <v>2100</v>
      </c>
      <c r="X53" s="146">
        <f t="shared" si="4"/>
        <v>-1276.3</v>
      </c>
    </row>
    <row r="55" spans="15:15" x14ac:dyDescent="0.25">
      <c r="O55" s="148"/>
    </row>
    <row r="56" spans="15:15" x14ac:dyDescent="0.25">
      <c r="O56" s="148">
        <f>O53-Q53</f>
        <v>13425.900000000001</v>
      </c>
    </row>
    <row r="57" spans="15:15" x14ac:dyDescent="0.25">
      <c r="O57" s="148"/>
    </row>
    <row r="59" spans="15:15" x14ac:dyDescent="0.25">
      <c r="O59" s="148"/>
    </row>
    <row r="60" spans="20:20" x14ac:dyDescent="0.25">
      <c r="T60" t="s">
        <v>173</v>
      </c>
    </row>
  </sheetData>
  <autoFilter ref="A5:X52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53:I53"/>
  </mergeCells>
  <conditionalFormatting sqref="C6:C44 C46:C52"/>
  <conditionalFormatting sqref="C45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2"/>
  <sheetViews>
    <sheetView workbookViewId="0" zoomScale="60" zoomScaleNormal="60">
      <pane ySplit="5" topLeftCell="A14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6" x14ac:dyDescent="0.25">
      <c r="A6" s="121">
        <v>1</v>
      </c>
      <c r="B6" s="122">
        <v>2001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4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  <c r="Z6" t="s">
        <v>174</v>
      </c>
    </row>
    <row r="7" ht="45.65" customHeight="1" spans="1:26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4" si="1">J7+K7+L7+M7+N7</f>
        <v>150</v>
      </c>
      <c r="P7" s="126">
        <v>0</v>
      </c>
      <c r="Q7" s="126">
        <v>28.85</v>
      </c>
      <c r="R7" s="126">
        <v>0</v>
      </c>
      <c r="S7" s="126">
        <v>0</v>
      </c>
      <c r="T7" s="127">
        <v>121.15</v>
      </c>
      <c r="U7" s="128"/>
      <c r="W7" s="128"/>
      <c r="X7" s="128"/>
      <c r="Z7" t="s">
        <v>174</v>
      </c>
    </row>
    <row r="8" ht="45.65" customHeight="1" spans="1:24" x14ac:dyDescent="0.25">
      <c r="A8" s="121">
        <v>3</v>
      </c>
      <c r="B8" s="122">
        <v>2003</v>
      </c>
      <c r="C8" s="130" t="s">
        <v>88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78.85</v>
      </c>
      <c r="R8" s="126">
        <v>0</v>
      </c>
      <c r="S8" s="126">
        <v>0</v>
      </c>
      <c r="T8" s="127">
        <f t="shared" ref="T8" si="2">O8-P8-Q8-R8-S8</f>
        <v>331.15</v>
      </c>
      <c r="U8" s="128"/>
      <c r="W8" s="128"/>
      <c r="X8" s="128"/>
    </row>
    <row r="9" ht="45.65" customHeight="1" spans="1:26" x14ac:dyDescent="0.25">
      <c r="A9" s="121">
        <v>4</v>
      </c>
      <c r="B9" s="122">
        <v>2004</v>
      </c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ref="T9:T54" si="3">O9-P9-Q9-R9-S9</f>
        <v>255.00000000000003</v>
      </c>
      <c r="U9" s="132"/>
      <c r="W9" s="132"/>
      <c r="X9" s="132"/>
      <c r="Z9" t="s">
        <v>174</v>
      </c>
    </row>
    <row r="10" ht="45.65" customHeight="1" spans="1:26" x14ac:dyDescent="0.25">
      <c r="A10" s="121">
        <v>5</v>
      </c>
      <c r="B10" s="122">
        <v>2005</v>
      </c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W10" s="132"/>
      <c r="X10" s="132"/>
      <c r="Z10" t="s">
        <v>174</v>
      </c>
    </row>
    <row r="11" ht="45.65" customHeight="1" spans="1:26" x14ac:dyDescent="0.25">
      <c r="A11" s="121">
        <v>6</v>
      </c>
      <c r="B11" s="122">
        <v>2006</v>
      </c>
      <c r="C11" s="123" t="s">
        <v>108</v>
      </c>
      <c r="D11" s="124" t="s">
        <v>109</v>
      </c>
      <c r="E11" s="124" t="s">
        <v>110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3"/>
        <v>430.00000000000006</v>
      </c>
      <c r="U11" s="132"/>
      <c r="W11" s="132"/>
      <c r="X11" s="132"/>
      <c r="Z11" t="s">
        <v>174</v>
      </c>
    </row>
    <row r="12" ht="45.65" customHeight="1" spans="1:26" x14ac:dyDescent="0.25">
      <c r="A12" s="121">
        <v>7</v>
      </c>
      <c r="B12" s="122">
        <v>2007</v>
      </c>
      <c r="C12" s="123" t="s">
        <v>111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1.15</v>
      </c>
      <c r="R12" s="126">
        <v>50</v>
      </c>
      <c r="S12" s="126">
        <v>0</v>
      </c>
      <c r="T12" s="127">
        <f t="shared" si="3"/>
        <v>188.84999999999997</v>
      </c>
      <c r="U12" s="149"/>
      <c r="W12" s="132"/>
      <c r="X12" s="132"/>
      <c r="Z12" t="s">
        <v>174</v>
      </c>
    </row>
    <row r="13" ht="45.65" customHeight="1" spans="1:26" x14ac:dyDescent="0.25">
      <c r="A13" s="121">
        <v>8</v>
      </c>
      <c r="B13" s="122">
        <v>2008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330</v>
      </c>
      <c r="U13" s="132"/>
      <c r="W13" s="132"/>
      <c r="X13" s="132"/>
      <c r="Z13" t="s">
        <v>174</v>
      </c>
    </row>
    <row r="14" ht="45.65" customHeight="1" spans="1:26" x14ac:dyDescent="0.25">
      <c r="A14" s="121">
        <v>9</v>
      </c>
      <c r="B14" s="122">
        <v>2009</v>
      </c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160</v>
      </c>
      <c r="H14" s="125">
        <v>26</v>
      </c>
      <c r="I14" s="125">
        <v>0</v>
      </c>
      <c r="J14" s="126">
        <f t="shared" si="0"/>
        <v>160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160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3"/>
        <v>160</v>
      </c>
      <c r="U14" s="132"/>
      <c r="W14" s="132"/>
      <c r="X14" s="132"/>
      <c r="Z14" t="s">
        <v>174</v>
      </c>
    </row>
    <row r="15" ht="45.65" customHeight="1" spans="1:26" x14ac:dyDescent="0.25">
      <c r="A15" s="121">
        <v>10</v>
      </c>
      <c r="B15" s="122">
        <v>2010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200</v>
      </c>
      <c r="U15" s="132"/>
      <c r="W15" s="132"/>
      <c r="X15" s="132"/>
      <c r="Z15" t="s">
        <v>174</v>
      </c>
    </row>
    <row r="16" ht="45.65" customHeight="1" spans="1:26" x14ac:dyDescent="0.25">
      <c r="A16" s="121">
        <v>11</v>
      </c>
      <c r="B16" s="122">
        <v>2011</v>
      </c>
      <c r="C16" s="123" t="s">
        <v>119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3"/>
        <v>430.00000000000006</v>
      </c>
      <c r="U16" s="132"/>
      <c r="W16" s="132"/>
      <c r="X16" s="132"/>
      <c r="Z16" t="s">
        <v>174</v>
      </c>
    </row>
    <row r="17" ht="45.65" customHeight="1" spans="1:26" x14ac:dyDescent="0.25">
      <c r="A17" s="121">
        <v>12</v>
      </c>
      <c r="B17" s="122">
        <v>2012</v>
      </c>
      <c r="C17" s="123" t="s">
        <v>122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3"/>
        <v>400</v>
      </c>
      <c r="U17" s="132"/>
      <c r="W17" s="132"/>
      <c r="X17" s="132"/>
      <c r="Z17" t="s">
        <v>174</v>
      </c>
    </row>
    <row r="18" ht="45.65" customHeight="1" spans="1:26" x14ac:dyDescent="0.25">
      <c r="A18" s="121">
        <v>13</v>
      </c>
      <c r="B18" s="122">
        <v>2013</v>
      </c>
      <c r="C18" s="123" t="s">
        <v>124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600</v>
      </c>
      <c r="U18" s="132"/>
      <c r="W18" s="132"/>
      <c r="X18" s="132"/>
      <c r="Z18" t="s">
        <v>174</v>
      </c>
    </row>
    <row r="19" ht="45.65" customHeight="1" spans="1:26" x14ac:dyDescent="0.25">
      <c r="A19" s="121">
        <v>14</v>
      </c>
      <c r="B19" s="122">
        <v>2014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3"/>
        <v>300</v>
      </c>
      <c r="U19" s="132"/>
      <c r="W19" s="132"/>
      <c r="X19" s="132"/>
      <c r="Z19" t="s">
        <v>174</v>
      </c>
    </row>
    <row r="20" ht="45.65" customHeight="1" spans="1:26" x14ac:dyDescent="0.25">
      <c r="A20" s="121">
        <v>15</v>
      </c>
      <c r="B20" s="122">
        <v>2015</v>
      </c>
      <c r="C20" s="123" t="s">
        <v>129</v>
      </c>
      <c r="D20" s="124" t="s">
        <v>116</v>
      </c>
      <c r="E20" s="124" t="s">
        <v>110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3"/>
        <v>250</v>
      </c>
      <c r="U20" s="132"/>
      <c r="W20" s="133"/>
      <c r="X20" s="134"/>
      <c r="Z20" t="s">
        <v>174</v>
      </c>
    </row>
    <row r="21" ht="45.65" customHeight="1" spans="1:26" x14ac:dyDescent="0.25">
      <c r="A21" s="121">
        <v>16</v>
      </c>
      <c r="B21" s="122">
        <v>2016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3"/>
        <v>100</v>
      </c>
      <c r="U21" s="132"/>
      <c r="W21" s="132"/>
      <c r="X21" s="132"/>
      <c r="Z21" t="s">
        <v>174</v>
      </c>
    </row>
    <row r="22" ht="45.65" customHeight="1" spans="1:26" x14ac:dyDescent="0.25">
      <c r="A22" s="121">
        <v>17</v>
      </c>
      <c r="B22" s="122">
        <v>2017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3.71</v>
      </c>
      <c r="R22" s="126">
        <v>50</v>
      </c>
      <c r="S22" s="126">
        <v>0</v>
      </c>
      <c r="T22" s="127">
        <f t="shared" si="3"/>
        <v>396.29</v>
      </c>
      <c r="U22" s="132"/>
      <c r="W22" s="132"/>
      <c r="X22" s="132"/>
      <c r="Z22" t="s">
        <v>174</v>
      </c>
    </row>
    <row r="23" ht="45.65" customHeight="1" spans="1:26" x14ac:dyDescent="0.25">
      <c r="A23" s="121">
        <v>18</v>
      </c>
      <c r="B23" s="122">
        <v>2018</v>
      </c>
      <c r="C23" s="123" t="s">
        <v>134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4.61</v>
      </c>
      <c r="R23" s="126">
        <v>0</v>
      </c>
      <c r="S23" s="126">
        <v>0</v>
      </c>
      <c r="T23" s="127">
        <f t="shared" si="3"/>
        <v>295.39</v>
      </c>
      <c r="U23" s="132"/>
      <c r="W23" s="132"/>
      <c r="X23" s="132"/>
      <c r="Z23" t="s">
        <v>174</v>
      </c>
    </row>
    <row r="24" ht="45.65" customHeight="1" spans="1:26" x14ac:dyDescent="0.25">
      <c r="A24" s="121">
        <v>19</v>
      </c>
      <c r="B24" s="122">
        <v>2019</v>
      </c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3"/>
        <v>50</v>
      </c>
      <c r="U24" s="132"/>
      <c r="W24" s="132"/>
      <c r="X24" s="132"/>
      <c r="Z24" t="s">
        <v>174</v>
      </c>
    </row>
    <row r="25" ht="45.65" customHeight="1" spans="1:26" x14ac:dyDescent="0.25">
      <c r="A25" s="121">
        <v>20</v>
      </c>
      <c r="B25" s="122">
        <v>2020</v>
      </c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5.77</v>
      </c>
      <c r="R25" s="126">
        <v>0</v>
      </c>
      <c r="S25" s="126">
        <v>0</v>
      </c>
      <c r="T25" s="127">
        <f t="shared" si="3"/>
        <v>144.23</v>
      </c>
      <c r="U25" s="132"/>
      <c r="W25" s="132"/>
      <c r="X25" s="132"/>
      <c r="Z25" t="s">
        <v>174</v>
      </c>
    </row>
    <row r="26" ht="45.65" customHeight="1" spans="1:26" x14ac:dyDescent="0.25">
      <c r="A26" s="121">
        <v>21</v>
      </c>
      <c r="B26" s="122">
        <v>2021</v>
      </c>
      <c r="C26" s="123" t="s">
        <v>140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3"/>
        <v>150</v>
      </c>
      <c r="U26" s="132"/>
      <c r="W26" s="132"/>
      <c r="X26" s="132"/>
      <c r="Z26" t="s">
        <v>174</v>
      </c>
    </row>
    <row r="27" ht="45.65" customHeight="1" spans="1:26" x14ac:dyDescent="0.25">
      <c r="A27" s="121">
        <v>22</v>
      </c>
      <c r="B27" s="122">
        <v>2022</v>
      </c>
      <c r="C27" s="123" t="s">
        <v>142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150</v>
      </c>
      <c r="U27" s="132"/>
      <c r="W27" s="132"/>
      <c r="X27" s="132"/>
      <c r="Z27" t="s">
        <v>174</v>
      </c>
    </row>
    <row r="28" ht="45.65" customHeight="1" spans="1:26" x14ac:dyDescent="0.25">
      <c r="A28" s="121">
        <v>23</v>
      </c>
      <c r="B28" s="122">
        <v>2023</v>
      </c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100</v>
      </c>
      <c r="U28" s="132"/>
      <c r="W28" s="132"/>
      <c r="X28" s="132"/>
      <c r="Z28" t="s">
        <v>174</v>
      </c>
    </row>
    <row r="29" ht="45.65" customHeight="1" spans="1:26" x14ac:dyDescent="0.25">
      <c r="A29" s="121">
        <v>24</v>
      </c>
      <c r="B29" s="122">
        <v>2024</v>
      </c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80</v>
      </c>
      <c r="U29" s="132"/>
      <c r="W29" s="132"/>
      <c r="X29" s="132"/>
      <c r="Z29" t="s">
        <v>174</v>
      </c>
    </row>
    <row r="30" ht="45.65" customHeight="1" spans="1:26" x14ac:dyDescent="0.25">
      <c r="A30" s="121">
        <v>25</v>
      </c>
      <c r="B30" s="122">
        <v>2025</v>
      </c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150</v>
      </c>
      <c r="U30" s="132"/>
      <c r="W30" s="132"/>
      <c r="X30" s="132"/>
      <c r="Z30" t="s">
        <v>174</v>
      </c>
    </row>
    <row r="31" ht="45.65" customHeight="1" spans="1:26" x14ac:dyDescent="0.25">
      <c r="A31" s="121">
        <v>26</v>
      </c>
      <c r="B31" s="122">
        <v>2026</v>
      </c>
      <c r="C31" s="123" t="s">
        <v>147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150</v>
      </c>
      <c r="U31" s="132"/>
      <c r="W31" s="132"/>
      <c r="X31" s="132"/>
      <c r="Z31" t="s">
        <v>174</v>
      </c>
    </row>
    <row r="32" ht="45.65" customHeight="1" spans="1:26" x14ac:dyDescent="0.25">
      <c r="A32" s="121">
        <v>27</v>
      </c>
      <c r="B32" s="122">
        <v>2027</v>
      </c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200</v>
      </c>
      <c r="U32" s="132"/>
      <c r="W32" s="132"/>
      <c r="X32" s="132"/>
      <c r="Z32" t="s">
        <v>174</v>
      </c>
    </row>
    <row r="33" ht="45.65" customHeight="1" spans="1:26" x14ac:dyDescent="0.25">
      <c r="A33" s="121">
        <v>28</v>
      </c>
      <c r="B33" s="122">
        <v>2028</v>
      </c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250</v>
      </c>
      <c r="U33" s="132"/>
      <c r="W33" s="132"/>
      <c r="X33" s="134"/>
      <c r="Z33" t="s">
        <v>174</v>
      </c>
    </row>
    <row r="34" ht="45.65" customHeight="1" spans="1:26" x14ac:dyDescent="0.25">
      <c r="A34" s="121">
        <v>29</v>
      </c>
      <c r="B34" s="122">
        <v>2029</v>
      </c>
      <c r="C34" s="123" t="s">
        <v>150</v>
      </c>
      <c r="D34" s="124" t="s">
        <v>97</v>
      </c>
      <c r="E34" s="124" t="s">
        <v>98</v>
      </c>
      <c r="F34" s="123" t="s">
        <v>151</v>
      </c>
      <c r="G34" s="122">
        <v>270</v>
      </c>
      <c r="H34" s="125">
        <v>26</v>
      </c>
      <c r="I34" s="125">
        <v>0</v>
      </c>
      <c r="J34" s="126">
        <f t="shared" si="0"/>
        <v>270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270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3"/>
        <v>270</v>
      </c>
      <c r="U34" s="132"/>
      <c r="W34" s="132"/>
      <c r="X34" s="132"/>
      <c r="Z34" t="s">
        <v>174</v>
      </c>
    </row>
    <row r="35" ht="45.65" customHeight="1" spans="1:26" x14ac:dyDescent="0.25">
      <c r="A35" s="121">
        <v>30</v>
      </c>
      <c r="B35" s="122">
        <v>2030</v>
      </c>
      <c r="C35" s="123" t="s">
        <v>152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3"/>
        <v>270</v>
      </c>
      <c r="U35" s="132"/>
      <c r="W35" s="132"/>
      <c r="X35" s="132"/>
      <c r="Z35" t="s">
        <v>174</v>
      </c>
    </row>
    <row r="36" ht="45.65" customHeight="1" spans="1:26" x14ac:dyDescent="0.25">
      <c r="A36" s="121">
        <v>31</v>
      </c>
      <c r="B36" s="122">
        <v>2031</v>
      </c>
      <c r="C36" s="123" t="s">
        <v>154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280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280</v>
      </c>
      <c r="U36" s="132"/>
      <c r="W36" s="132"/>
      <c r="X36" s="132"/>
      <c r="Z36" t="s">
        <v>174</v>
      </c>
    </row>
    <row r="37" ht="45.65" customHeight="1" spans="1:26" x14ac:dyDescent="0.25">
      <c r="A37" s="121">
        <v>32</v>
      </c>
      <c r="B37" s="122">
        <v>2032</v>
      </c>
      <c r="C37" s="123" t="s">
        <v>155</v>
      </c>
      <c r="D37" s="124" t="s">
        <v>97</v>
      </c>
      <c r="E37" s="124" t="s">
        <v>156</v>
      </c>
      <c r="F37" s="123" t="s">
        <v>157</v>
      </c>
      <c r="G37" s="122">
        <v>200</v>
      </c>
      <c r="H37" s="125">
        <v>26</v>
      </c>
      <c r="I37" s="125">
        <v>0</v>
      </c>
      <c r="J37" s="126">
        <f t="shared" si="0"/>
        <v>200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200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3"/>
        <v>200</v>
      </c>
      <c r="U37" s="132"/>
      <c r="W37" s="132"/>
      <c r="X37" s="132"/>
      <c r="Z37" t="s">
        <v>174</v>
      </c>
    </row>
    <row r="38" ht="45.65" customHeight="1" spans="1:26" x14ac:dyDescent="0.25">
      <c r="A38" s="121">
        <v>33</v>
      </c>
      <c r="B38" s="122">
        <v>2033</v>
      </c>
      <c r="C38" s="123" t="s">
        <v>158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3"/>
        <v>400</v>
      </c>
      <c r="U38" s="132" t="s">
        <v>57</v>
      </c>
      <c r="W38" s="132">
        <v>600</v>
      </c>
      <c r="X38" s="134">
        <v>-200</v>
      </c>
      <c r="Z38" t="s">
        <v>174</v>
      </c>
    </row>
    <row r="39" ht="45.65" customHeight="1" spans="1:26" x14ac:dyDescent="0.25">
      <c r="A39" s="121">
        <v>34</v>
      </c>
      <c r="B39" s="122">
        <v>2034</v>
      </c>
      <c r="C39" s="123" t="s">
        <v>159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26</v>
      </c>
      <c r="I39" s="125">
        <v>0</v>
      </c>
      <c r="J39" s="126">
        <f t="shared" si="0"/>
        <v>450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450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3"/>
        <v>450</v>
      </c>
      <c r="U39" s="132"/>
      <c r="W39" s="132"/>
      <c r="X39" s="132"/>
      <c r="Z39" t="s">
        <v>174</v>
      </c>
    </row>
    <row r="40" ht="45.65" customHeight="1" spans="1:26" x14ac:dyDescent="0.25">
      <c r="A40" s="121">
        <v>35</v>
      </c>
      <c r="B40" s="122">
        <v>2035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3"/>
        <v>550</v>
      </c>
      <c r="U40" s="132"/>
      <c r="W40" s="132"/>
      <c r="X40" s="132"/>
      <c r="Z40" t="s">
        <v>174</v>
      </c>
    </row>
    <row r="41" ht="45.65" customHeight="1" spans="1:26" x14ac:dyDescent="0.25">
      <c r="A41" s="121">
        <v>36</v>
      </c>
      <c r="B41" s="122">
        <v>2036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3"/>
        <v>450</v>
      </c>
      <c r="U41" s="132"/>
      <c r="W41" s="132"/>
      <c r="X41" s="132"/>
      <c r="Z41" t="s">
        <v>174</v>
      </c>
    </row>
    <row r="42" ht="45.65" customHeight="1" spans="1:26" x14ac:dyDescent="0.25">
      <c r="A42" s="121">
        <v>37</v>
      </c>
      <c r="B42" s="122">
        <v>2037</v>
      </c>
      <c r="C42" s="123" t="s">
        <v>165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3"/>
        <v>450</v>
      </c>
      <c r="U42" s="132"/>
      <c r="W42" s="132"/>
      <c r="X42" s="132"/>
      <c r="Z42" t="s">
        <v>174</v>
      </c>
    </row>
    <row r="43" ht="45.65" customHeight="1" spans="1:26" x14ac:dyDescent="0.25">
      <c r="A43" s="121">
        <v>38</v>
      </c>
      <c r="B43" s="122">
        <v>2038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3"/>
        <v>260</v>
      </c>
      <c r="U43" s="132"/>
      <c r="W43" s="132"/>
      <c r="X43" s="132"/>
      <c r="Z43" t="s">
        <v>174</v>
      </c>
    </row>
    <row r="44" ht="45.65" customHeight="1" spans="1:26" x14ac:dyDescent="0.25">
      <c r="A44" s="121">
        <v>39</v>
      </c>
      <c r="B44" s="122">
        <v>2039</v>
      </c>
      <c r="C44" s="123" t="s">
        <v>175</v>
      </c>
      <c r="D44" s="124" t="s">
        <v>97</v>
      </c>
      <c r="E44" s="124" t="s">
        <v>98</v>
      </c>
      <c r="F44" s="123" t="s">
        <v>59</v>
      </c>
      <c r="G44" s="122">
        <v>120</v>
      </c>
      <c r="H44" s="125">
        <v>26</v>
      </c>
      <c r="I44" s="125">
        <v>0</v>
      </c>
      <c r="J44" s="126">
        <f t="shared" si="0"/>
        <v>119.99999999999999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119.99999999999999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3"/>
        <v>119.99999999999999</v>
      </c>
      <c r="U44" s="132"/>
      <c r="W44" s="132"/>
      <c r="X44" s="132"/>
      <c r="Z44" t="s">
        <v>174</v>
      </c>
    </row>
    <row r="45" ht="45.65" customHeight="1" spans="1:24" x14ac:dyDescent="0.25">
      <c r="A45" s="121">
        <v>40</v>
      </c>
      <c r="B45" s="122">
        <v>2040</v>
      </c>
      <c r="C45" s="123" t="s">
        <v>176</v>
      </c>
      <c r="D45" s="124" t="s">
        <v>177</v>
      </c>
      <c r="E45" s="124" t="s">
        <v>98</v>
      </c>
      <c r="F45" s="123" t="s">
        <v>178</v>
      </c>
      <c r="G45" s="122">
        <v>240</v>
      </c>
      <c r="H45" s="125">
        <v>26</v>
      </c>
      <c r="I45" s="125">
        <v>0</v>
      </c>
      <c r="J45" s="126">
        <f t="shared" si="0"/>
        <v>239.99999999999997</v>
      </c>
      <c r="K45" s="126">
        <v>0</v>
      </c>
      <c r="L45" s="168">
        <v>83.08</v>
      </c>
      <c r="M45" s="126">
        <v>0</v>
      </c>
      <c r="N45" s="126">
        <v>0</v>
      </c>
      <c r="O45" s="126">
        <f t="shared" si="1"/>
        <v>323.08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3"/>
        <v>323.08</v>
      </c>
      <c r="U45" s="132"/>
      <c r="W45" s="132"/>
      <c r="X45" s="132"/>
    </row>
    <row r="46" ht="45.65" customHeight="1" spans="1:24" x14ac:dyDescent="0.25">
      <c r="A46" s="121">
        <v>41</v>
      </c>
      <c r="B46" s="122">
        <v>2041</v>
      </c>
      <c r="C46" s="123" t="s">
        <v>179</v>
      </c>
      <c r="D46" s="124" t="s">
        <v>177</v>
      </c>
      <c r="E46" s="124" t="s">
        <v>98</v>
      </c>
      <c r="F46" s="123" t="s">
        <v>180</v>
      </c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70.77</v>
      </c>
      <c r="M46" s="126">
        <v>0</v>
      </c>
      <c r="N46" s="126">
        <v>0</v>
      </c>
      <c r="O46" s="126">
        <f t="shared" si="1"/>
        <v>150.76999999999998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150.76999999999998</v>
      </c>
      <c r="U46" s="132"/>
      <c r="W46" s="132"/>
      <c r="X46" s="132"/>
    </row>
    <row r="47" ht="45.65" customHeight="1" spans="1:24" x14ac:dyDescent="0.25">
      <c r="A47" s="121">
        <v>42</v>
      </c>
      <c r="B47" s="122">
        <v>2042</v>
      </c>
      <c r="C47" s="123" t="s">
        <v>181</v>
      </c>
      <c r="D47" s="124" t="s">
        <v>177</v>
      </c>
      <c r="E47" s="124" t="s">
        <v>98</v>
      </c>
      <c r="F47" s="123" t="s">
        <v>178</v>
      </c>
      <c r="G47" s="122">
        <v>240</v>
      </c>
      <c r="H47" s="125">
        <v>26</v>
      </c>
      <c r="I47" s="125">
        <v>0</v>
      </c>
      <c r="J47" s="126">
        <f t="shared" si="0"/>
        <v>239.99999999999997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239.99999999999997</v>
      </c>
      <c r="P47" s="126">
        <v>0</v>
      </c>
      <c r="Q47" s="126">
        <v>46.15</v>
      </c>
      <c r="R47" s="126">
        <v>0</v>
      </c>
      <c r="S47" s="126">
        <v>0</v>
      </c>
      <c r="T47" s="127">
        <f t="shared" si="3"/>
        <v>193.84999999999997</v>
      </c>
      <c r="U47" s="132"/>
      <c r="W47" s="132"/>
      <c r="X47" s="132"/>
    </row>
    <row r="48" ht="45.65" customHeight="1" spans="1:26" x14ac:dyDescent="0.25">
      <c r="A48" s="121">
        <v>50</v>
      </c>
      <c r="B48" s="122">
        <v>2050</v>
      </c>
      <c r="C48" s="153" t="s">
        <v>168</v>
      </c>
      <c r="D48" s="154" t="s">
        <v>97</v>
      </c>
      <c r="E48" s="154" t="s">
        <v>98</v>
      </c>
      <c r="F48" s="155"/>
      <c r="G48" s="156">
        <v>600</v>
      </c>
      <c r="H48" s="125">
        <v>26</v>
      </c>
      <c r="I48" s="125">
        <v>0</v>
      </c>
      <c r="J48" s="126">
        <f t="shared" si="0"/>
        <v>600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600</v>
      </c>
      <c r="P48" s="126">
        <v>0</v>
      </c>
      <c r="Q48" s="151">
        <v>0</v>
      </c>
      <c r="R48" s="126">
        <v>0</v>
      </c>
      <c r="S48" s="152">
        <v>176.3</v>
      </c>
      <c r="T48" s="127">
        <f t="shared" si="3"/>
        <v>423.7</v>
      </c>
      <c r="U48" s="132" t="s">
        <v>57</v>
      </c>
      <c r="W48" s="132">
        <v>600</v>
      </c>
      <c r="X48" s="134">
        <v>-176.3</v>
      </c>
      <c r="Z48" t="s">
        <v>174</v>
      </c>
    </row>
    <row r="49" ht="45.65" customHeight="1" spans="1:26" x14ac:dyDescent="0.25">
      <c r="A49" s="121">
        <v>51</v>
      </c>
      <c r="B49" s="122">
        <v>2051</v>
      </c>
      <c r="C49" s="153" t="s">
        <v>169</v>
      </c>
      <c r="D49" s="154" t="s">
        <v>97</v>
      </c>
      <c r="E49" s="154" t="s">
        <v>98</v>
      </c>
      <c r="F49" s="155"/>
      <c r="G49" s="156">
        <v>413.2</v>
      </c>
      <c r="H49" s="125">
        <v>26</v>
      </c>
      <c r="I49" s="125">
        <v>0</v>
      </c>
      <c r="J49" s="126">
        <f t="shared" si="0"/>
        <v>413.2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413.2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413.2</v>
      </c>
      <c r="U49" s="132"/>
      <c r="W49" s="132"/>
      <c r="X49" s="134"/>
      <c r="Z49" t="s">
        <v>174</v>
      </c>
    </row>
    <row r="50" ht="45.65" customHeight="1" spans="1:26" x14ac:dyDescent="0.25">
      <c r="A50" s="121">
        <v>52</v>
      </c>
      <c r="B50" s="122">
        <v>2052</v>
      </c>
      <c r="C50" s="153" t="s">
        <v>170</v>
      </c>
      <c r="D50" s="154"/>
      <c r="E50" s="154" t="s">
        <v>171</v>
      </c>
      <c r="F50" s="155"/>
      <c r="G50" s="157">
        <v>300</v>
      </c>
      <c r="H50" s="125">
        <v>26</v>
      </c>
      <c r="I50" s="125">
        <v>0</v>
      </c>
      <c r="J50" s="126">
        <f t="shared" si="0"/>
        <v>300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300</v>
      </c>
      <c r="P50" s="126">
        <v>0</v>
      </c>
      <c r="Q50" s="151">
        <v>0</v>
      </c>
      <c r="R50" s="126">
        <v>0</v>
      </c>
      <c r="S50" s="152">
        <v>300</v>
      </c>
      <c r="T50" s="127">
        <f t="shared" si="3"/>
        <v>0</v>
      </c>
      <c r="U50" s="132" t="s">
        <v>57</v>
      </c>
      <c r="W50" s="132">
        <v>300</v>
      </c>
      <c r="X50" s="134">
        <v>-300</v>
      </c>
      <c r="Z50" t="s">
        <v>174</v>
      </c>
    </row>
    <row r="51" ht="45.65" customHeight="1" spans="1:26" x14ac:dyDescent="0.25">
      <c r="A51" s="121">
        <v>53</v>
      </c>
      <c r="B51" s="122">
        <v>2053</v>
      </c>
      <c r="C51" s="153" t="s">
        <v>172</v>
      </c>
      <c r="D51" s="154"/>
      <c r="E51" s="154" t="s">
        <v>171</v>
      </c>
      <c r="F51" s="155"/>
      <c r="G51" s="157">
        <v>600</v>
      </c>
      <c r="H51" s="125">
        <v>26</v>
      </c>
      <c r="I51" s="125">
        <v>0</v>
      </c>
      <c r="J51" s="126">
        <f t="shared" si="0"/>
        <v>600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600</v>
      </c>
      <c r="P51" s="126">
        <v>0</v>
      </c>
      <c r="Q51" s="151">
        <v>0</v>
      </c>
      <c r="R51" s="126">
        <v>0</v>
      </c>
      <c r="S51" s="152">
        <v>600</v>
      </c>
      <c r="T51" s="127">
        <f t="shared" si="3"/>
        <v>0</v>
      </c>
      <c r="U51" s="131" t="s">
        <v>57</v>
      </c>
      <c r="W51" s="132">
        <v>600</v>
      </c>
      <c r="X51" s="134">
        <v>-600</v>
      </c>
      <c r="Z51" t="s">
        <v>174</v>
      </c>
    </row>
    <row r="52" ht="45.65" customHeight="1" spans="1:24" x14ac:dyDescent="0.25">
      <c r="A52" s="121">
        <v>54</v>
      </c>
      <c r="B52" s="122">
        <v>2054</v>
      </c>
      <c r="C52" s="155"/>
      <c r="D52" s="154"/>
      <c r="E52" s="154"/>
      <c r="F52" s="155"/>
      <c r="G52" s="157"/>
      <c r="H52" s="125">
        <v>26</v>
      </c>
      <c r="I52" s="125">
        <v>0</v>
      </c>
      <c r="J52" s="126">
        <f t="shared" si="0"/>
        <v>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3"/>
        <v>0</v>
      </c>
      <c r="U52" s="128"/>
      <c r="W52" s="132"/>
      <c r="X52" s="134"/>
    </row>
    <row r="53" ht="45.65" customHeight="1" spans="1:24" x14ac:dyDescent="0.25">
      <c r="A53" s="121">
        <v>55</v>
      </c>
      <c r="B53" s="122">
        <v>2055</v>
      </c>
      <c r="C53" s="155"/>
      <c r="D53" s="154"/>
      <c r="E53" s="154"/>
      <c r="F53" s="155"/>
      <c r="G53" s="157"/>
      <c r="H53" s="125">
        <v>26</v>
      </c>
      <c r="I53" s="125">
        <v>0</v>
      </c>
      <c r="J53" s="126">
        <f t="shared" si="0"/>
        <v>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3"/>
        <v>0</v>
      </c>
      <c r="U53" s="128"/>
      <c r="W53" s="132"/>
      <c r="X53" s="134"/>
    </row>
    <row r="54" ht="45.65" customHeight="1" spans="1:24" x14ac:dyDescent="0.25">
      <c r="A54" s="158">
        <v>56</v>
      </c>
      <c r="B54" s="159">
        <v>2056</v>
      </c>
      <c r="C54" s="160"/>
      <c r="D54" s="161"/>
      <c r="E54" s="161"/>
      <c r="F54" s="160"/>
      <c r="G54" s="162"/>
      <c r="H54" s="163">
        <v>26</v>
      </c>
      <c r="I54" s="163">
        <v>0</v>
      </c>
      <c r="J54" s="164">
        <f t="shared" si="0"/>
        <v>0</v>
      </c>
      <c r="K54" s="164">
        <v>0</v>
      </c>
      <c r="L54" s="164">
        <v>0</v>
      </c>
      <c r="M54" s="164">
        <v>0</v>
      </c>
      <c r="N54" s="164">
        <v>0</v>
      </c>
      <c r="O54" s="164">
        <f t="shared" si="1"/>
        <v>0</v>
      </c>
      <c r="P54" s="164">
        <v>0</v>
      </c>
      <c r="Q54" s="164">
        <v>0</v>
      </c>
      <c r="R54" s="164">
        <v>0</v>
      </c>
      <c r="S54" s="164">
        <v>0</v>
      </c>
      <c r="T54" s="165">
        <f t="shared" si="3"/>
        <v>0</v>
      </c>
      <c r="U54" s="166"/>
      <c r="W54" s="132"/>
      <c r="X54" s="134"/>
    </row>
    <row r="55" ht="50.15" customHeight="1" spans="1:24" x14ac:dyDescent="0.25">
      <c r="A55" s="143" t="s">
        <v>26</v>
      </c>
      <c r="B55" s="144"/>
      <c r="C55" s="144"/>
      <c r="D55" s="144"/>
      <c r="E55" s="144"/>
      <c r="F55" s="144"/>
      <c r="G55" s="144"/>
      <c r="H55" s="144"/>
      <c r="I55" s="145"/>
      <c r="J55" s="146">
        <f t="shared" ref="J55:T55" si="4">SUBTOTAL(9,J6:J54)</f>
        <v>13708.2</v>
      </c>
      <c r="K55" s="146">
        <f t="shared" si="4"/>
        <v>0</v>
      </c>
      <c r="L55" s="146">
        <f t="shared" si="4"/>
        <v>153.85</v>
      </c>
      <c r="M55" s="146">
        <f t="shared" si="4"/>
        <v>0</v>
      </c>
      <c r="N55" s="146">
        <f t="shared" si="4"/>
        <v>300</v>
      </c>
      <c r="O55" s="146">
        <f t="shared" si="4"/>
        <v>14162.050000000001</v>
      </c>
      <c r="P55" s="146">
        <f t="shared" si="4"/>
        <v>0</v>
      </c>
      <c r="Q55" s="146">
        <f t="shared" si="4"/>
        <v>169.08999999999997</v>
      </c>
      <c r="R55" s="146">
        <f t="shared" si="4"/>
        <v>150</v>
      </c>
      <c r="S55" s="167">
        <f t="shared" si="4"/>
        <v>1276.3</v>
      </c>
      <c r="T55" s="147">
        <f t="shared" si="4"/>
        <v>12566.660000000002</v>
      </c>
      <c r="U55" s="146"/>
      <c r="W55" s="146">
        <f>SUBTOTAL(9,W6:W54)</f>
        <v>2100</v>
      </c>
      <c r="X55" s="146">
        <f>SUBTOTAL(9,X6:X54)</f>
        <v>-1276.3</v>
      </c>
    </row>
    <row r="57" spans="15:15" x14ac:dyDescent="0.25">
      <c r="O57" s="148"/>
    </row>
    <row r="58" ht="21.65" customHeight="1" spans="15:15" x14ac:dyDescent="0.25">
      <c r="O58" s="148">
        <f>O55-Q55</f>
        <v>13992.960000000001</v>
      </c>
    </row>
    <row r="59" spans="15:15" x14ac:dyDescent="0.25">
      <c r="O59" s="148"/>
    </row>
    <row r="61" spans="15:15" x14ac:dyDescent="0.25">
      <c r="O61" s="148"/>
    </row>
    <row r="62" spans="20:20" x14ac:dyDescent="0.25">
      <c r="T62" t="s">
        <v>173</v>
      </c>
    </row>
  </sheetData>
  <autoFilter ref="A5:X54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55:I55"/>
  </mergeCells>
  <conditionalFormatting sqref="C8"/>
  <conditionalFormatting sqref="C44"/>
  <conditionalFormatting sqref="C45:C47"/>
  <conditionalFormatting sqref="C48:C54 C6:C7 C9:C43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9"/>
  <sheetViews>
    <sheetView workbookViewId="0" zoomScale="60" zoomScaleNormal="60">
      <pane ySplit="5" topLeftCell="A14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1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hidden="1" customWidth="1"/>
    <col min="22" max="22" width="10.53515625" hidden="1" customWidth="1"/>
    <col min="23" max="23" width="18.3046875" hidden="1" customWidth="1"/>
    <col min="24" max="24" width="17" hidden="1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241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spans="1:27" x14ac:dyDescent="0.25">
      <c r="A6" s="121">
        <v>1</v>
      </c>
      <c r="B6" s="122"/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4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v>2</v>
      </c>
      <c r="B7" s="122"/>
      <c r="C7" s="123" t="s">
        <v>242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4" si="1">J7+K7+L7+M7+N7</f>
        <v>150</v>
      </c>
      <c r="P7" s="126">
        <v>0</v>
      </c>
      <c r="Q7" s="126">
        <v>80.769</v>
      </c>
      <c r="R7" s="126">
        <v>0</v>
      </c>
      <c r="S7" s="126">
        <v>0</v>
      </c>
      <c r="T7" s="127">
        <f>O7-P7-Q7-R7-S7</f>
        <v>69.231</v>
      </c>
      <c r="U7" s="128"/>
      <c r="V7" t="s">
        <v>205</v>
      </c>
      <c r="W7" s="128"/>
      <c r="X7" s="128"/>
      <c r="Z7" s="189">
        <v>69.23</v>
      </c>
      <c r="AA7" s="148">
        <f t="shared" ref="AA7:AA58" si="2">T7-Z7</f>
        <v>0.000999999999990564</v>
      </c>
    </row>
    <row r="8" ht="45.65" customHeight="1" spans="1:27" x14ac:dyDescent="0.25">
      <c r="A8" s="121">
        <v>3</v>
      </c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64" si="3">O8-P8-Q8-R8-S8</f>
        <v>410</v>
      </c>
      <c r="U8" s="131"/>
      <c r="V8" t="s">
        <v>207</v>
      </c>
      <c r="X8" s="131"/>
      <c r="Y8" t="s">
        <v>243</v>
      </c>
      <c r="Z8" s="189">
        <v>410</v>
      </c>
      <c r="AA8" s="148">
        <f t="shared" si="2"/>
        <v>0</v>
      </c>
    </row>
    <row r="9" ht="45.65" customHeight="1" spans="1:27" x14ac:dyDescent="0.25">
      <c r="A9" s="121">
        <v>4</v>
      </c>
      <c r="B9" s="122"/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3"/>
        <v>255.00000000000003</v>
      </c>
      <c r="U9" s="132"/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spans="1:27" x14ac:dyDescent="0.25">
      <c r="A10" s="121">
        <v>5</v>
      </c>
      <c r="B10" s="122"/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v>6</v>
      </c>
      <c r="B11" s="122"/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3"/>
        <v>430.00000000000006</v>
      </c>
      <c r="U11" s="132"/>
      <c r="V11" t="s">
        <v>205</v>
      </c>
      <c r="W11" s="132"/>
      <c r="X11" s="132"/>
      <c r="Z11" s="189">
        <v>430</v>
      </c>
      <c r="AA11" s="148">
        <f t="shared" si="2"/>
        <v>0</v>
      </c>
    </row>
    <row r="12" ht="45.65" customHeight="1" spans="1:27" x14ac:dyDescent="0.25">
      <c r="A12" s="121"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3"/>
        <v>189.99999999999997</v>
      </c>
      <c r="U12" s="132"/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0</v>
      </c>
    </row>
    <row r="13" ht="45.65" customHeight="1" spans="1:27" x14ac:dyDescent="0.25">
      <c r="A13" s="121"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330</v>
      </c>
      <c r="U13" s="132"/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0</v>
      </c>
    </row>
    <row r="14" ht="45.65" customHeight="1" spans="1:27" x14ac:dyDescent="0.25">
      <c r="A14" s="121">
        <v>9</v>
      </c>
      <c r="B14" s="122"/>
      <c r="C14" s="190" t="s">
        <v>114</v>
      </c>
      <c r="D14" s="191" t="s">
        <v>100</v>
      </c>
      <c r="E14" s="191" t="s">
        <v>98</v>
      </c>
      <c r="F14" s="190" t="s">
        <v>59</v>
      </c>
      <c r="G14" s="192">
        <v>480</v>
      </c>
      <c r="H14" s="193">
        <v>0</v>
      </c>
      <c r="I14" s="193"/>
      <c r="J14" s="150">
        <f t="shared" si="0"/>
        <v>0</v>
      </c>
      <c r="K14" s="150">
        <v>0</v>
      </c>
      <c r="L14" s="150">
        <v>0</v>
      </c>
      <c r="M14" s="150">
        <v>0</v>
      </c>
      <c r="N14" s="150">
        <v>0</v>
      </c>
      <c r="O14" s="150">
        <f t="shared" si="1"/>
        <v>0</v>
      </c>
      <c r="P14" s="150">
        <v>0</v>
      </c>
      <c r="Q14" s="150">
        <v>0</v>
      </c>
      <c r="R14" s="150">
        <v>0</v>
      </c>
      <c r="S14" s="150">
        <v>0</v>
      </c>
      <c r="T14" s="194">
        <f t="shared" si="3"/>
        <v>0</v>
      </c>
      <c r="U14" s="132"/>
      <c r="V14" t="s">
        <v>205</v>
      </c>
      <c r="W14" s="132"/>
      <c r="X14" s="132"/>
      <c r="Z14" s="189">
        <v>0</v>
      </c>
      <c r="AA14" s="148">
        <f t="shared" si="2"/>
        <v>0</v>
      </c>
    </row>
    <row r="15" ht="45.65" customHeight="1" spans="1:27" x14ac:dyDescent="0.25">
      <c r="A15" s="121"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200</v>
      </c>
      <c r="U15" s="132"/>
      <c r="V15" t="s">
        <v>207</v>
      </c>
      <c r="W15" s="132"/>
      <c r="X15" s="132"/>
      <c r="Y15" t="s">
        <v>243</v>
      </c>
      <c r="Z15" s="189">
        <v>200</v>
      </c>
      <c r="AA15" s="148">
        <f t="shared" si="2"/>
        <v>0</v>
      </c>
    </row>
    <row r="16" ht="45.65" customHeight="1" spans="1:27" x14ac:dyDescent="0.25">
      <c r="A16" s="121"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3"/>
        <v>430.00000000000006</v>
      </c>
      <c r="U16" s="132"/>
      <c r="V16" t="s">
        <v>207</v>
      </c>
      <c r="W16" s="132"/>
      <c r="X16" s="132"/>
      <c r="Y16" t="s">
        <v>243</v>
      </c>
      <c r="Z16" s="189">
        <v>430</v>
      </c>
      <c r="AA16" s="148">
        <f t="shared" si="2"/>
        <v>0</v>
      </c>
    </row>
    <row r="17" ht="45.65" customHeight="1" spans="1:27" x14ac:dyDescent="0.25">
      <c r="A17" s="121"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4.327</v>
      </c>
      <c r="R17" s="126">
        <v>50</v>
      </c>
      <c r="S17" s="126">
        <v>0</v>
      </c>
      <c r="T17" s="127">
        <f t="shared" si="3"/>
        <v>395.673</v>
      </c>
      <c r="U17" s="132"/>
      <c r="V17" t="s">
        <v>207</v>
      </c>
      <c r="W17" s="132"/>
      <c r="X17" s="132"/>
      <c r="Y17" t="s">
        <v>243</v>
      </c>
      <c r="Z17" s="189">
        <v>395.67</v>
      </c>
      <c r="AA17" s="148">
        <f t="shared" si="2"/>
        <v>0.002999999999985903</v>
      </c>
    </row>
    <row r="18" ht="45.65" customHeight="1" spans="1:27" x14ac:dyDescent="0.25">
      <c r="A18" s="121"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600</v>
      </c>
      <c r="U18" s="132"/>
      <c r="V18" t="s">
        <v>207</v>
      </c>
      <c r="W18" s="132"/>
      <c r="X18" s="132"/>
      <c r="Y18" t="s">
        <v>243</v>
      </c>
      <c r="Z18" s="189">
        <v>600</v>
      </c>
      <c r="AA18" s="148">
        <f t="shared" si="2"/>
        <v>0</v>
      </c>
    </row>
    <row r="19" ht="45.65" customHeight="1" spans="1:27" x14ac:dyDescent="0.25">
      <c r="A19" s="121">
        <v>14</v>
      </c>
      <c r="B19" s="122" t="s">
        <v>215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3"/>
        <v>300</v>
      </c>
      <c r="U19" s="132"/>
      <c r="V19" t="s">
        <v>207</v>
      </c>
      <c r="W19" s="132"/>
      <c r="X19" s="132"/>
      <c r="Y19" t="s">
        <v>243</v>
      </c>
      <c r="Z19" s="189">
        <v>300</v>
      </c>
      <c r="AA19" s="148">
        <f t="shared" si="2"/>
        <v>0</v>
      </c>
    </row>
    <row r="20" ht="45.65" customHeight="1" spans="1:27" x14ac:dyDescent="0.25">
      <c r="A20" s="121"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3"/>
        <v>250</v>
      </c>
      <c r="U20" s="132"/>
      <c r="V20" t="s">
        <v>207</v>
      </c>
      <c r="W20" s="133"/>
      <c r="X20" s="134"/>
      <c r="Y20" t="s">
        <v>243</v>
      </c>
      <c r="Z20" s="189">
        <v>250</v>
      </c>
      <c r="AA20" s="148">
        <f t="shared" si="2"/>
        <v>0</v>
      </c>
    </row>
    <row r="21" ht="45.65" customHeight="1" spans="1:27" x14ac:dyDescent="0.25">
      <c r="A21" s="121">
        <v>16</v>
      </c>
      <c r="B21" s="122"/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3"/>
        <v>100</v>
      </c>
      <c r="U21" s="132"/>
      <c r="V21" t="s">
        <v>205</v>
      </c>
      <c r="W21" s="132"/>
      <c r="X21" s="132"/>
      <c r="Z21" s="189">
        <v>100</v>
      </c>
      <c r="AA21" s="148">
        <f t="shared" si="2"/>
        <v>0</v>
      </c>
    </row>
    <row r="22" ht="45.65" customHeight="1" spans="1:27" x14ac:dyDescent="0.25">
      <c r="A22" s="121">
        <v>17</v>
      </c>
      <c r="B22" s="122"/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3"/>
        <v>400</v>
      </c>
      <c r="U22" s="132"/>
      <c r="V22" t="s">
        <v>205</v>
      </c>
      <c r="W22" s="132"/>
      <c r="X22" s="132"/>
      <c r="Z22" s="189">
        <v>400</v>
      </c>
      <c r="AA22" s="148">
        <f t="shared" si="2"/>
        <v>0</v>
      </c>
    </row>
    <row r="23" ht="45.65" customHeight="1" spans="1:27" x14ac:dyDescent="0.25">
      <c r="A23" s="121"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3"/>
        <v>300</v>
      </c>
      <c r="U23" s="132"/>
      <c r="V23" t="s">
        <v>207</v>
      </c>
      <c r="W23" s="132"/>
      <c r="X23" s="132"/>
      <c r="Y23" t="s">
        <v>243</v>
      </c>
      <c r="Z23" s="189">
        <v>300</v>
      </c>
      <c r="AA23" s="148">
        <f t="shared" si="2"/>
        <v>0</v>
      </c>
    </row>
    <row r="24" ht="45.65" customHeight="1" spans="1:27" x14ac:dyDescent="0.25">
      <c r="A24" s="121">
        <v>19</v>
      </c>
      <c r="B24" s="122"/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3"/>
        <v>50</v>
      </c>
      <c r="U24" s="132"/>
      <c r="V24" t="s">
        <v>205</v>
      </c>
      <c r="W24" s="132"/>
      <c r="X24" s="132"/>
      <c r="Z24" s="189">
        <v>50</v>
      </c>
      <c r="AA24" s="148">
        <f t="shared" si="2"/>
        <v>0</v>
      </c>
    </row>
    <row r="25" ht="45.65" customHeight="1" spans="1:29" x14ac:dyDescent="0.25">
      <c r="A25" s="121">
        <v>20</v>
      </c>
      <c r="B25" s="122"/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2.884</v>
      </c>
      <c r="R25" s="126">
        <v>0</v>
      </c>
      <c r="S25" s="126">
        <v>0</v>
      </c>
      <c r="T25" s="127">
        <f t="shared" si="3"/>
        <v>147.116</v>
      </c>
      <c r="U25" s="132"/>
      <c r="V25" t="s">
        <v>205</v>
      </c>
      <c r="W25" s="132"/>
      <c r="X25" s="132"/>
      <c r="Z25" s="189">
        <v>147.12</v>
      </c>
      <c r="AA25" s="148">
        <f t="shared" si="2"/>
        <v>-0.003999999999990678</v>
      </c>
      <c r="AC25">
        <f>150-147.116</f>
        <v>2.883999999999986</v>
      </c>
    </row>
    <row r="26" ht="45.65" customHeight="1" spans="1:27" x14ac:dyDescent="0.25">
      <c r="A26" s="121">
        <v>21</v>
      </c>
      <c r="B26" s="122" t="s">
        <v>219</v>
      </c>
      <c r="C26" s="123" t="s">
        <v>220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3"/>
        <v>150</v>
      </c>
      <c r="U26" s="132"/>
      <c r="V26" t="s">
        <v>207</v>
      </c>
      <c r="W26" s="132"/>
      <c r="X26" s="132"/>
      <c r="Y26" t="s">
        <v>243</v>
      </c>
      <c r="Z26" s="189">
        <v>150</v>
      </c>
      <c r="AA26" s="148">
        <f t="shared" si="2"/>
        <v>0</v>
      </c>
    </row>
    <row r="27" ht="45.65" customHeight="1" spans="1:27" x14ac:dyDescent="0.25">
      <c r="A27" s="121">
        <v>22</v>
      </c>
      <c r="B27" s="122" t="s">
        <v>221</v>
      </c>
      <c r="C27" s="123" t="s">
        <v>222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150</v>
      </c>
      <c r="U27" s="132"/>
      <c r="V27" t="s">
        <v>207</v>
      </c>
      <c r="W27" s="132"/>
      <c r="X27" s="132"/>
      <c r="Y27" t="s">
        <v>243</v>
      </c>
      <c r="Z27" s="189">
        <v>150</v>
      </c>
      <c r="AA27" s="148">
        <f t="shared" si="2"/>
        <v>0</v>
      </c>
    </row>
    <row r="28" ht="45.65" customHeight="1" spans="1:27" x14ac:dyDescent="0.25">
      <c r="A28" s="121">
        <v>23</v>
      </c>
      <c r="B28" s="122"/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100</v>
      </c>
      <c r="U28" s="132"/>
      <c r="V28" t="s">
        <v>205</v>
      </c>
      <c r="W28" s="132"/>
      <c r="X28" s="132"/>
      <c r="Z28" s="189">
        <v>100</v>
      </c>
      <c r="AA28" s="148">
        <f t="shared" si="2"/>
        <v>0</v>
      </c>
    </row>
    <row r="29" ht="45.65" customHeight="1" spans="1:27" x14ac:dyDescent="0.25">
      <c r="A29" s="121">
        <v>24</v>
      </c>
      <c r="B29" s="122"/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80</v>
      </c>
      <c r="U29" s="132"/>
      <c r="V29" t="s">
        <v>205</v>
      </c>
      <c r="W29" s="132"/>
      <c r="X29" s="132"/>
      <c r="Z29" s="189">
        <v>80</v>
      </c>
      <c r="AA29" s="148">
        <f t="shared" si="2"/>
        <v>0</v>
      </c>
    </row>
    <row r="30" ht="45.65" customHeight="1" spans="1:27" x14ac:dyDescent="0.25">
      <c r="A30" s="121">
        <v>25</v>
      </c>
      <c r="B30" s="122"/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150</v>
      </c>
      <c r="U30" s="132"/>
      <c r="V30" t="s">
        <v>205</v>
      </c>
      <c r="W30" s="132"/>
      <c r="X30" s="132"/>
      <c r="Z30" s="189">
        <v>150</v>
      </c>
      <c r="AA30" s="148">
        <f t="shared" si="2"/>
        <v>0</v>
      </c>
    </row>
    <row r="31" ht="45.65" customHeight="1" spans="1:27" x14ac:dyDescent="0.25">
      <c r="A31" s="121">
        <v>26</v>
      </c>
      <c r="B31" s="122" t="s">
        <v>223</v>
      </c>
      <c r="C31" s="123" t="s">
        <v>224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150</v>
      </c>
      <c r="U31" s="132"/>
      <c r="V31" t="s">
        <v>207</v>
      </c>
      <c r="W31" s="132"/>
      <c r="X31" s="132"/>
      <c r="Y31" t="s">
        <v>243</v>
      </c>
      <c r="Z31" s="189">
        <v>150</v>
      </c>
      <c r="AA31" s="148">
        <f t="shared" si="2"/>
        <v>0</v>
      </c>
    </row>
    <row r="32" ht="45.65" customHeight="1" spans="1:27" x14ac:dyDescent="0.25">
      <c r="A32" s="121">
        <v>27</v>
      </c>
      <c r="B32" s="122"/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200</v>
      </c>
      <c r="U32" s="132"/>
      <c r="V32" t="s">
        <v>205</v>
      </c>
      <c r="W32" s="132"/>
      <c r="X32" s="132"/>
      <c r="Z32" s="189">
        <v>200</v>
      </c>
      <c r="AA32" s="148">
        <f t="shared" si="2"/>
        <v>0</v>
      </c>
    </row>
    <row r="33" ht="45.65" customHeight="1" spans="1:27" x14ac:dyDescent="0.25">
      <c r="A33" s="121">
        <v>28</v>
      </c>
      <c r="B33" s="122"/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250</v>
      </c>
      <c r="U33" s="132"/>
      <c r="V33" t="s">
        <v>205</v>
      </c>
      <c r="W33" s="132"/>
      <c r="X33" s="134"/>
      <c r="Z33" s="189">
        <v>250</v>
      </c>
      <c r="AA33" s="148">
        <f t="shared" si="2"/>
        <v>0</v>
      </c>
    </row>
    <row r="34" ht="45.65" customHeight="1" spans="1:27" x14ac:dyDescent="0.25">
      <c r="A34" s="121">
        <v>29</v>
      </c>
      <c r="B34" s="192" t="s">
        <v>225</v>
      </c>
      <c r="C34" s="190" t="s">
        <v>189</v>
      </c>
      <c r="D34" s="191" t="s">
        <v>97</v>
      </c>
      <c r="E34" s="191" t="s">
        <v>98</v>
      </c>
      <c r="F34" s="190" t="s">
        <v>151</v>
      </c>
      <c r="G34" s="192">
        <v>384.23</v>
      </c>
      <c r="H34" s="193">
        <v>0</v>
      </c>
      <c r="I34" s="193">
        <v>0</v>
      </c>
      <c r="J34" s="150">
        <f t="shared" si="0"/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f t="shared" si="1"/>
        <v>0</v>
      </c>
      <c r="P34" s="150">
        <v>0</v>
      </c>
      <c r="Q34" s="150">
        <v>0</v>
      </c>
      <c r="R34" s="150">
        <v>0</v>
      </c>
      <c r="S34" s="150">
        <v>0</v>
      </c>
      <c r="T34" s="194">
        <f t="shared" si="3"/>
        <v>0</v>
      </c>
      <c r="U34" s="132"/>
      <c r="V34" t="s">
        <v>207</v>
      </c>
      <c r="W34" s="132"/>
      <c r="X34" s="132"/>
      <c r="Y34" t="s">
        <v>243</v>
      </c>
      <c r="Z34" s="189">
        <v>0</v>
      </c>
      <c r="AA34" s="148">
        <f t="shared" si="2"/>
        <v>0</v>
      </c>
    </row>
    <row r="35" ht="45.65" customHeight="1" spans="1:27" x14ac:dyDescent="0.25">
      <c r="A35" s="121">
        <v>30</v>
      </c>
      <c r="B35" s="122" t="s">
        <v>226</v>
      </c>
      <c r="C35" s="123" t="s">
        <v>152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3"/>
        <v>270</v>
      </c>
      <c r="U35" s="132"/>
      <c r="V35" t="s">
        <v>207</v>
      </c>
      <c r="W35" s="132"/>
      <c r="X35" s="132"/>
      <c r="Y35" t="s">
        <v>243</v>
      </c>
      <c r="Z35" s="189">
        <v>270</v>
      </c>
      <c r="AA35" s="148">
        <f t="shared" si="2"/>
        <v>0</v>
      </c>
    </row>
    <row r="36" ht="45.65" customHeight="1" spans="1:27" x14ac:dyDescent="0.25">
      <c r="A36" s="121">
        <v>31</v>
      </c>
      <c r="B36" s="122"/>
      <c r="C36" s="123" t="s">
        <v>246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280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280</v>
      </c>
      <c r="U36" s="132"/>
      <c r="V36" t="s">
        <v>205</v>
      </c>
      <c r="W36" s="132"/>
      <c r="X36" s="132"/>
      <c r="Z36" s="189">
        <v>280</v>
      </c>
      <c r="AA36" s="148">
        <f t="shared" si="2"/>
        <v>0</v>
      </c>
    </row>
    <row r="37" ht="45.65" customHeight="1" spans="1:27" x14ac:dyDescent="0.25">
      <c r="A37" s="121">
        <v>32</v>
      </c>
      <c r="B37" s="192"/>
      <c r="C37" s="190" t="s">
        <v>155</v>
      </c>
      <c r="D37" s="191" t="s">
        <v>97</v>
      </c>
      <c r="E37" s="191" t="s">
        <v>156</v>
      </c>
      <c r="F37" s="190" t="s">
        <v>157</v>
      </c>
      <c r="G37" s="192">
        <v>200</v>
      </c>
      <c r="H37" s="193">
        <v>0</v>
      </c>
      <c r="I37" s="193">
        <v>0</v>
      </c>
      <c r="J37" s="150">
        <f t="shared" si="0"/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f t="shared" si="1"/>
        <v>0</v>
      </c>
      <c r="P37" s="150">
        <v>0</v>
      </c>
      <c r="Q37" s="150">
        <v>0</v>
      </c>
      <c r="R37" s="150">
        <v>0</v>
      </c>
      <c r="S37" s="150">
        <v>0</v>
      </c>
      <c r="T37" s="194">
        <f t="shared" si="3"/>
        <v>0</v>
      </c>
      <c r="U37" s="132"/>
      <c r="V37" t="s">
        <v>205</v>
      </c>
      <c r="W37" s="132"/>
      <c r="X37" s="132"/>
      <c r="Z37" s="189">
        <v>0</v>
      </c>
      <c r="AA37" s="148">
        <f t="shared" si="2"/>
        <v>0</v>
      </c>
    </row>
    <row r="38" ht="45.65" customHeight="1" spans="1:27" x14ac:dyDescent="0.25">
      <c r="A38" s="121">
        <v>33</v>
      </c>
      <c r="B38" s="122" t="s">
        <v>227</v>
      </c>
      <c r="C38" s="123" t="s">
        <v>191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3"/>
        <v>400</v>
      </c>
      <c r="U38" s="132" t="s">
        <v>57</v>
      </c>
      <c r="V38" t="s">
        <v>207</v>
      </c>
      <c r="W38" s="132">
        <v>600</v>
      </c>
      <c r="X38" s="134">
        <v>-200</v>
      </c>
      <c r="Y38" t="s">
        <v>243</v>
      </c>
      <c r="Z38" s="189">
        <v>600</v>
      </c>
      <c r="AA38" s="148">
        <f t="shared" si="2"/>
        <v>-200</v>
      </c>
    </row>
    <row r="39" ht="45.65" customHeight="1" spans="1:27" x14ac:dyDescent="0.25">
      <c r="A39" s="121">
        <v>34</v>
      </c>
      <c r="B39" s="122" t="s">
        <v>228</v>
      </c>
      <c r="C39" s="123" t="s">
        <v>247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6</v>
      </c>
      <c r="I39" s="125">
        <v>0</v>
      </c>
      <c r="J39" s="126">
        <f t="shared" si="0"/>
        <v>103.84615384615384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103.84615384615384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3"/>
        <v>103.84615384615384</v>
      </c>
      <c r="U39" s="132"/>
      <c r="V39" t="s">
        <v>207</v>
      </c>
      <c r="W39" s="132"/>
      <c r="X39" s="132"/>
      <c r="Y39" t="s">
        <v>243</v>
      </c>
      <c r="Z39" s="189">
        <v>103.85</v>
      </c>
      <c r="AA39" s="148">
        <f t="shared" si="2"/>
        <v>-0.0038461538461547207</v>
      </c>
    </row>
    <row r="40" ht="45.65" customHeight="1" spans="1:27" x14ac:dyDescent="0.25">
      <c r="A40" s="121">
        <v>35</v>
      </c>
      <c r="B40" s="122" t="s">
        <v>229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3"/>
        <v>550</v>
      </c>
      <c r="U40" s="132"/>
      <c r="V40" t="s">
        <v>207</v>
      </c>
      <c r="W40" s="132"/>
      <c r="X40" s="132"/>
      <c r="Y40" t="s">
        <v>243</v>
      </c>
      <c r="Z40" s="189">
        <v>550</v>
      </c>
      <c r="AA40" s="148">
        <f t="shared" si="2"/>
        <v>0</v>
      </c>
    </row>
    <row r="41" ht="45.65" customHeight="1" spans="1:27" x14ac:dyDescent="0.25">
      <c r="A41" s="121">
        <v>36</v>
      </c>
      <c r="B41" s="122" t="s">
        <v>230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1.923</v>
      </c>
      <c r="R41" s="126">
        <v>0</v>
      </c>
      <c r="S41" s="126">
        <v>0</v>
      </c>
      <c r="T41" s="127">
        <f t="shared" si="3"/>
        <v>448.077</v>
      </c>
      <c r="U41" s="132"/>
      <c r="V41" t="s">
        <v>207</v>
      </c>
      <c r="W41" s="132"/>
      <c r="X41" s="132"/>
      <c r="Y41" t="s">
        <v>243</v>
      </c>
      <c r="Z41" s="189">
        <v>448.08</v>
      </c>
      <c r="AA41" s="148">
        <f t="shared" si="2"/>
        <v>-0.002999999999985903</v>
      </c>
    </row>
    <row r="42" ht="45.65" customHeight="1" spans="1:27" x14ac:dyDescent="0.25">
      <c r="A42" s="121">
        <v>37</v>
      </c>
      <c r="B42" s="122" t="s">
        <v>231</v>
      </c>
      <c r="C42" s="123" t="s">
        <v>165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3"/>
        <v>450</v>
      </c>
      <c r="U42" s="132"/>
      <c r="V42" t="s">
        <v>207</v>
      </c>
      <c r="W42" s="132"/>
      <c r="X42" s="132"/>
      <c r="Y42" t="s">
        <v>243</v>
      </c>
      <c r="Z42" s="189">
        <v>450</v>
      </c>
      <c r="AA42" s="148">
        <f t="shared" si="2"/>
        <v>0</v>
      </c>
    </row>
    <row r="43" ht="45.65" customHeight="1" spans="1:27" x14ac:dyDescent="0.25">
      <c r="A43" s="121">
        <v>38</v>
      </c>
      <c r="B43" s="122" t="s">
        <v>233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3"/>
        <v>260</v>
      </c>
      <c r="U43" s="132"/>
      <c r="V43" t="s">
        <v>207</v>
      </c>
      <c r="W43" s="132"/>
      <c r="X43" s="132"/>
      <c r="Y43" t="s">
        <v>243</v>
      </c>
      <c r="Z43" s="189">
        <v>260</v>
      </c>
      <c r="AA43" s="148">
        <f t="shared" si="2"/>
        <v>0</v>
      </c>
    </row>
    <row r="44" ht="45.65" customHeight="1" spans="1:27" x14ac:dyDescent="0.25">
      <c r="A44" s="121">
        <v>39</v>
      </c>
      <c r="B44" s="192"/>
      <c r="C44" s="190" t="s">
        <v>175</v>
      </c>
      <c r="D44" s="191" t="s">
        <v>97</v>
      </c>
      <c r="E44" s="191" t="s">
        <v>98</v>
      </c>
      <c r="F44" s="190" t="s">
        <v>59</v>
      </c>
      <c r="G44" s="192">
        <v>120</v>
      </c>
      <c r="H44" s="193">
        <v>0</v>
      </c>
      <c r="I44" s="193">
        <v>0</v>
      </c>
      <c r="J44" s="150">
        <f t="shared" si="0"/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f t="shared" si="1"/>
        <v>0</v>
      </c>
      <c r="P44" s="150">
        <v>0</v>
      </c>
      <c r="Q44" s="150">
        <v>0</v>
      </c>
      <c r="R44" s="150">
        <v>0</v>
      </c>
      <c r="S44" s="150">
        <v>0</v>
      </c>
      <c r="T44" s="194">
        <f t="shared" si="3"/>
        <v>0</v>
      </c>
      <c r="U44" s="132"/>
      <c r="V44" t="s">
        <v>205</v>
      </c>
      <c r="W44" s="132"/>
      <c r="X44" s="132"/>
      <c r="Z44" s="189">
        <v>76.92</v>
      </c>
      <c r="AA44" s="148">
        <f t="shared" si="2"/>
        <v>-76.92</v>
      </c>
    </row>
    <row r="45" ht="45.65" customHeight="1" spans="1:27" x14ac:dyDescent="0.25">
      <c r="A45" s="121">
        <v>40</v>
      </c>
      <c r="B45" s="129"/>
      <c r="C45" s="130" t="s">
        <v>248</v>
      </c>
      <c r="D45" s="124" t="s">
        <v>97</v>
      </c>
      <c r="E45" s="124" t="s">
        <v>98</v>
      </c>
      <c r="F45" s="130"/>
      <c r="G45" s="122">
        <v>80</v>
      </c>
      <c r="H45" s="125">
        <v>26</v>
      </c>
      <c r="I45" s="125">
        <v>0</v>
      </c>
      <c r="J45" s="126">
        <f t="shared" ref="J45" si="4">G45/26*H45</f>
        <v>80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ref="O45" si="5">J45+K45+L45+M45+N45</f>
        <v>80</v>
      </c>
      <c r="P45" s="126">
        <v>0</v>
      </c>
      <c r="Q45" s="126">
        <v>3.077</v>
      </c>
      <c r="R45" s="126">
        <v>0</v>
      </c>
      <c r="S45" s="126">
        <v>0</v>
      </c>
      <c r="T45" s="127">
        <f t="shared" ref="T45" si="6">O45-P45-Q45-R45-S45</f>
        <v>76.923</v>
      </c>
      <c r="U45" s="132"/>
      <c r="W45" s="132"/>
      <c r="X45" s="132"/>
      <c r="Z45" s="189">
        <v>120</v>
      </c>
      <c r="AA45" s="148">
        <f t="shared" si="2"/>
        <v>-43.077</v>
      </c>
    </row>
    <row r="46" ht="45.65" customHeight="1" spans="1:27" x14ac:dyDescent="0.25">
      <c r="A46" s="121">
        <v>41</v>
      </c>
      <c r="B46" s="122"/>
      <c r="C46" s="123" t="s">
        <v>176</v>
      </c>
      <c r="D46" s="124" t="s">
        <v>177</v>
      </c>
      <c r="E46" s="124" t="s">
        <v>98</v>
      </c>
      <c r="F46" s="123" t="s">
        <v>178</v>
      </c>
      <c r="G46" s="122">
        <v>120</v>
      </c>
      <c r="H46" s="125">
        <v>26</v>
      </c>
      <c r="I46" s="125">
        <v>0</v>
      </c>
      <c r="J46" s="126">
        <f t="shared" si="0"/>
        <v>119.99999999999999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119.99999999999999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119.99999999999999</v>
      </c>
      <c r="U46" s="132"/>
      <c r="V46" t="s">
        <v>205</v>
      </c>
      <c r="W46" s="132"/>
      <c r="X46" s="134"/>
      <c r="Z46" s="189">
        <v>80</v>
      </c>
      <c r="AA46" s="148">
        <f t="shared" si="2"/>
        <v>39.999999999999986</v>
      </c>
    </row>
    <row r="47" ht="45.65" customHeight="1" spans="1:27" x14ac:dyDescent="0.25">
      <c r="A47" s="121">
        <v>42</v>
      </c>
      <c r="B47" s="122"/>
      <c r="C47" s="123" t="s">
        <v>249</v>
      </c>
      <c r="D47" s="124" t="s">
        <v>177</v>
      </c>
      <c r="E47" s="124" t="s">
        <v>98</v>
      </c>
      <c r="F47" s="123" t="s">
        <v>180</v>
      </c>
      <c r="G47" s="122">
        <v>80</v>
      </c>
      <c r="H47" s="125">
        <v>26</v>
      </c>
      <c r="I47" s="125">
        <v>0</v>
      </c>
      <c r="J47" s="126">
        <f t="shared" si="0"/>
        <v>80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80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3"/>
        <v>80</v>
      </c>
      <c r="U47" s="132"/>
      <c r="V47" t="s">
        <v>205</v>
      </c>
      <c r="W47" s="132"/>
      <c r="X47" s="134"/>
      <c r="Z47" s="189">
        <v>240</v>
      </c>
      <c r="AA47" s="148">
        <f t="shared" si="2"/>
        <v>-160</v>
      </c>
    </row>
    <row r="48" ht="45.65" customHeight="1" spans="1:27" x14ac:dyDescent="0.25">
      <c r="A48" s="121">
        <v>43</v>
      </c>
      <c r="B48" s="122"/>
      <c r="C48" s="123" t="s">
        <v>181</v>
      </c>
      <c r="D48" s="124" t="s">
        <v>177</v>
      </c>
      <c r="E48" s="124" t="s">
        <v>98</v>
      </c>
      <c r="F48" s="123" t="s">
        <v>178</v>
      </c>
      <c r="G48" s="122">
        <v>240</v>
      </c>
      <c r="H48" s="125">
        <v>26</v>
      </c>
      <c r="I48" s="125">
        <v>0</v>
      </c>
      <c r="J48" s="126">
        <f t="shared" si="0"/>
        <v>239.99999999999997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239.99999999999997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3"/>
        <v>239.99999999999997</v>
      </c>
      <c r="U48" s="132"/>
      <c r="V48" t="s">
        <v>205</v>
      </c>
      <c r="W48" s="132"/>
      <c r="X48" s="134"/>
      <c r="Z48" s="189">
        <v>120</v>
      </c>
      <c r="AA48" s="148">
        <f t="shared" si="2"/>
        <v>119.99999999999997</v>
      </c>
    </row>
    <row r="49" ht="45.65" customHeight="1" spans="1:27" x14ac:dyDescent="0.25">
      <c r="A49" s="121">
        <v>44</v>
      </c>
      <c r="B49" s="122"/>
      <c r="C49" s="123" t="s">
        <v>192</v>
      </c>
      <c r="D49" s="124" t="s">
        <v>177</v>
      </c>
      <c r="E49" s="124" t="s">
        <v>98</v>
      </c>
      <c r="F49" s="123" t="s">
        <v>178</v>
      </c>
      <c r="G49" s="122">
        <v>120</v>
      </c>
      <c r="H49" s="125">
        <v>26</v>
      </c>
      <c r="I49" s="125">
        <v>0</v>
      </c>
      <c r="J49" s="126">
        <f t="shared" si="0"/>
        <v>119.99999999999999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119.99999999999999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119.99999999999999</v>
      </c>
      <c r="U49" s="132"/>
      <c r="V49" t="s">
        <v>205</v>
      </c>
      <c r="W49" s="132"/>
      <c r="X49" s="134"/>
      <c r="Z49" s="189">
        <v>100</v>
      </c>
      <c r="AA49" s="148">
        <f t="shared" si="2"/>
        <v>19.999999999999986</v>
      </c>
    </row>
    <row r="50" ht="45.65" customHeight="1" spans="1:27" x14ac:dyDescent="0.25">
      <c r="A50" s="121">
        <v>45</v>
      </c>
      <c r="B50" s="122"/>
      <c r="C50" s="171" t="s">
        <v>193</v>
      </c>
      <c r="D50" s="172" t="s">
        <v>177</v>
      </c>
      <c r="E50" s="124" t="s">
        <v>98</v>
      </c>
      <c r="F50" s="171" t="s">
        <v>194</v>
      </c>
      <c r="G50" s="170">
        <v>100</v>
      </c>
      <c r="H50" s="173">
        <v>26</v>
      </c>
      <c r="I50" s="173">
        <v>0</v>
      </c>
      <c r="J50" s="174">
        <f t="shared" si="0"/>
        <v>100</v>
      </c>
      <c r="K50" s="174">
        <v>0</v>
      </c>
      <c r="L50" s="174">
        <v>0</v>
      </c>
      <c r="M50" s="174">
        <v>0</v>
      </c>
      <c r="N50" s="174">
        <v>0</v>
      </c>
      <c r="O50" s="174">
        <f t="shared" si="1"/>
        <v>100</v>
      </c>
      <c r="P50" s="174">
        <v>0</v>
      </c>
      <c r="Q50" s="174">
        <v>0</v>
      </c>
      <c r="R50" s="174">
        <v>0</v>
      </c>
      <c r="S50" s="174">
        <v>0</v>
      </c>
      <c r="T50" s="175">
        <f t="shared" si="3"/>
        <v>100</v>
      </c>
      <c r="U50" s="132"/>
      <c r="V50" t="s">
        <v>205</v>
      </c>
      <c r="W50" s="132"/>
      <c r="X50" s="134"/>
      <c r="Z50" s="189">
        <v>250</v>
      </c>
      <c r="AA50" s="148">
        <f t="shared" si="2"/>
        <v>-150</v>
      </c>
    </row>
    <row r="51" ht="45.65" customHeight="1" spans="1:27" x14ac:dyDescent="0.25">
      <c r="A51" s="121">
        <v>46</v>
      </c>
      <c r="B51" s="122"/>
      <c r="C51" s="178" t="s">
        <v>195</v>
      </c>
      <c r="D51" s="179" t="s">
        <v>109</v>
      </c>
      <c r="E51" s="124" t="s">
        <v>98</v>
      </c>
      <c r="F51" s="178" t="s">
        <v>196</v>
      </c>
      <c r="G51" s="177">
        <v>250</v>
      </c>
      <c r="H51" s="180">
        <v>26</v>
      </c>
      <c r="I51" s="180">
        <v>0</v>
      </c>
      <c r="J51" s="181">
        <f t="shared" si="0"/>
        <v>250</v>
      </c>
      <c r="K51" s="181">
        <v>0</v>
      </c>
      <c r="L51" s="181">
        <v>0</v>
      </c>
      <c r="M51" s="181">
        <v>0</v>
      </c>
      <c r="N51" s="181">
        <v>0</v>
      </c>
      <c r="O51" s="181">
        <f t="shared" si="1"/>
        <v>250</v>
      </c>
      <c r="P51" s="181">
        <v>0</v>
      </c>
      <c r="Q51" s="181">
        <v>0</v>
      </c>
      <c r="R51" s="181">
        <v>0</v>
      </c>
      <c r="S51" s="181">
        <v>0</v>
      </c>
      <c r="T51" s="182">
        <f t="shared" si="3"/>
        <v>250</v>
      </c>
      <c r="U51" s="132"/>
      <c r="V51" t="s">
        <v>205</v>
      </c>
      <c r="W51" s="132"/>
      <c r="X51" s="134"/>
      <c r="Z51" s="189">
        <v>120</v>
      </c>
      <c r="AA51" s="148">
        <f t="shared" si="2"/>
        <v>130</v>
      </c>
    </row>
    <row r="52" ht="45.65" customHeight="1" spans="1:27" x14ac:dyDescent="0.25">
      <c r="A52" s="121">
        <v>47</v>
      </c>
      <c r="B52" s="122"/>
      <c r="C52" s="155" t="s">
        <v>197</v>
      </c>
      <c r="D52" s="154" t="s">
        <v>177</v>
      </c>
      <c r="E52" s="124" t="s">
        <v>98</v>
      </c>
      <c r="F52" s="155" t="s">
        <v>198</v>
      </c>
      <c r="G52" s="157">
        <v>120</v>
      </c>
      <c r="H52" s="125">
        <v>26</v>
      </c>
      <c r="I52" s="125">
        <v>0</v>
      </c>
      <c r="J52" s="126">
        <f t="shared" si="0"/>
        <v>119.99999999999999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119.99999999999999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3"/>
        <v>119.99999999999999</v>
      </c>
      <c r="U52" s="132"/>
      <c r="V52" t="s">
        <v>205</v>
      </c>
      <c r="W52" s="132"/>
      <c r="X52" s="134"/>
      <c r="Z52" s="189">
        <v>150</v>
      </c>
      <c r="AA52" s="148">
        <f t="shared" si="2"/>
        <v>-30.000000000000014</v>
      </c>
    </row>
    <row r="53" ht="45.65" customHeight="1" spans="1:27" x14ac:dyDescent="0.25">
      <c r="A53" s="121">
        <v>48</v>
      </c>
      <c r="B53" s="122"/>
      <c r="C53" s="155" t="s">
        <v>199</v>
      </c>
      <c r="D53" s="154" t="s">
        <v>177</v>
      </c>
      <c r="E53" s="124" t="s">
        <v>98</v>
      </c>
      <c r="F53" s="155" t="s">
        <v>200</v>
      </c>
      <c r="G53" s="157">
        <v>150</v>
      </c>
      <c r="H53" s="125">
        <v>26</v>
      </c>
      <c r="I53" s="125">
        <v>0</v>
      </c>
      <c r="J53" s="126">
        <f t="shared" si="0"/>
        <v>150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150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3"/>
        <v>150</v>
      </c>
      <c r="U53" s="132"/>
      <c r="V53" t="s">
        <v>205</v>
      </c>
      <c r="W53" s="132"/>
      <c r="X53" s="134"/>
      <c r="Z53" s="189">
        <v>100</v>
      </c>
      <c r="AA53" s="148">
        <f t="shared" si="2"/>
        <v>50</v>
      </c>
    </row>
    <row r="54" ht="45.65" customHeight="1" spans="1:27" x14ac:dyDescent="0.25">
      <c r="A54" s="121">
        <v>49</v>
      </c>
      <c r="B54" s="122"/>
      <c r="C54" s="155" t="s">
        <v>250</v>
      </c>
      <c r="D54" s="154" t="s">
        <v>177</v>
      </c>
      <c r="E54" s="154" t="s">
        <v>98</v>
      </c>
      <c r="F54" s="155" t="s">
        <v>198</v>
      </c>
      <c r="G54" s="157">
        <v>100</v>
      </c>
      <c r="H54" s="125">
        <v>26</v>
      </c>
      <c r="I54" s="125">
        <v>0</v>
      </c>
      <c r="J54" s="126">
        <f t="shared" si="0"/>
        <v>100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100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si="3"/>
        <v>100</v>
      </c>
      <c r="U54" s="132"/>
      <c r="V54" t="s">
        <v>205</v>
      </c>
      <c r="W54" s="132"/>
      <c r="X54" s="134"/>
      <c r="Z54" s="189">
        <v>238.85</v>
      </c>
      <c r="AA54" s="148">
        <f t="shared" si="2"/>
        <v>-138.85</v>
      </c>
    </row>
    <row r="55" ht="45.65" customHeight="1" spans="1:27" x14ac:dyDescent="0.25">
      <c r="A55" s="121">
        <v>50</v>
      </c>
      <c r="B55" s="122"/>
      <c r="C55" s="155" t="s">
        <v>251</v>
      </c>
      <c r="D55" s="154" t="s">
        <v>97</v>
      </c>
      <c r="E55" s="154" t="s">
        <v>98</v>
      </c>
      <c r="F55" s="155"/>
      <c r="G55" s="157">
        <v>270</v>
      </c>
      <c r="H55" s="125">
        <v>26</v>
      </c>
      <c r="I55" s="125">
        <v>0</v>
      </c>
      <c r="J55" s="126">
        <f>G55/26*H55</f>
        <v>270</v>
      </c>
      <c r="K55" s="126">
        <v>0</v>
      </c>
      <c r="L55" s="126">
        <v>0</v>
      </c>
      <c r="M55" s="126">
        <v>0</v>
      </c>
      <c r="N55" s="126">
        <v>0</v>
      </c>
      <c r="O55" s="126">
        <f>J55+K55+L55+M55+N55</f>
        <v>270</v>
      </c>
      <c r="P55" s="126">
        <v>0</v>
      </c>
      <c r="Q55" s="126">
        <v>31.153999999999996</v>
      </c>
      <c r="R55" s="126">
        <v>0</v>
      </c>
      <c r="S55" s="126">
        <v>0</v>
      </c>
      <c r="T55" s="127">
        <f>O55-P55-Q55-R55-S55</f>
        <v>238.846</v>
      </c>
      <c r="U55" s="132"/>
      <c r="V55" t="s">
        <v>205</v>
      </c>
      <c r="W55" s="132"/>
      <c r="X55" s="134"/>
      <c r="Z55" s="189">
        <v>500</v>
      </c>
      <c r="AA55" s="148">
        <f t="shared" si="2"/>
        <v>-261.154</v>
      </c>
    </row>
    <row r="56" ht="45.65" customHeight="1" spans="1:27" x14ac:dyDescent="0.25">
      <c r="A56" s="121">
        <v>51</v>
      </c>
      <c r="B56" s="122" t="s">
        <v>252</v>
      </c>
      <c r="C56" s="155" t="s">
        <v>253</v>
      </c>
      <c r="D56" s="154" t="s">
        <v>100</v>
      </c>
      <c r="E56" s="154" t="s">
        <v>98</v>
      </c>
      <c r="F56" s="155"/>
      <c r="G56" s="157">
        <v>500</v>
      </c>
      <c r="H56" s="125">
        <v>26</v>
      </c>
      <c r="I56" s="125">
        <v>0</v>
      </c>
      <c r="J56" s="126">
        <f t="shared" ref="J56:J57" si="7">G56/26*H56</f>
        <v>500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ref="O56:O57" si="8">J56+K56+L56+M56+N56</f>
        <v>500</v>
      </c>
      <c r="P56" s="126">
        <v>0</v>
      </c>
      <c r="Q56" s="126">
        <v>0</v>
      </c>
      <c r="R56" s="126">
        <v>0</v>
      </c>
      <c r="S56" s="126">
        <v>0</v>
      </c>
      <c r="T56" s="127">
        <f>O56-P56-Q56-R56-S56</f>
        <v>500</v>
      </c>
      <c r="U56" s="132"/>
      <c r="W56" s="132"/>
      <c r="X56" s="134"/>
      <c r="Y56" t="s">
        <v>243</v>
      </c>
      <c r="Z56" s="189">
        <v>350</v>
      </c>
      <c r="AA56" s="148">
        <f t="shared" si="2"/>
        <v>150</v>
      </c>
    </row>
    <row r="57" ht="45.65" customHeight="1" spans="1:27" x14ac:dyDescent="0.25">
      <c r="A57" s="121">
        <v>52</v>
      </c>
      <c r="B57" s="122"/>
      <c r="C57" s="155" t="s">
        <v>254</v>
      </c>
      <c r="D57" s="154" t="s">
        <v>100</v>
      </c>
      <c r="E57" s="154" t="s">
        <v>98</v>
      </c>
      <c r="F57" s="155"/>
      <c r="G57" s="157">
        <v>350</v>
      </c>
      <c r="H57" s="125">
        <v>26</v>
      </c>
      <c r="I57" s="125">
        <v>0</v>
      </c>
      <c r="J57" s="126">
        <f t="shared" si="7"/>
        <v>350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8"/>
        <v>350</v>
      </c>
      <c r="P57" s="126">
        <v>0</v>
      </c>
      <c r="Q57" s="126">
        <v>0</v>
      </c>
      <c r="R57" s="126">
        <v>0</v>
      </c>
      <c r="S57" s="126">
        <v>0</v>
      </c>
      <c r="T57" s="127">
        <f t="shared" si="3"/>
        <v>350</v>
      </c>
      <c r="U57" s="132"/>
      <c r="W57" s="132"/>
      <c r="X57" s="134"/>
      <c r="Z57" s="189">
        <v>600</v>
      </c>
      <c r="AA57" s="148">
        <f t="shared" si="2"/>
        <v>-250</v>
      </c>
    </row>
    <row r="58" ht="45.65" customHeight="1" spans="1:27" x14ac:dyDescent="0.25">
      <c r="A58" s="121">
        <v>53</v>
      </c>
      <c r="B58" s="122" t="s">
        <v>237</v>
      </c>
      <c r="C58" s="155" t="s">
        <v>201</v>
      </c>
      <c r="D58" s="154"/>
      <c r="E58" s="154" t="s">
        <v>98</v>
      </c>
      <c r="F58" s="155"/>
      <c r="G58" s="156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51">
        <v>0</v>
      </c>
      <c r="R58" s="126">
        <v>0</v>
      </c>
      <c r="S58" s="152">
        <v>176.3</v>
      </c>
      <c r="T58" s="127">
        <f t="shared" si="3"/>
        <v>423.7</v>
      </c>
      <c r="U58" s="132" t="s">
        <v>57</v>
      </c>
      <c r="V58" t="s">
        <v>207</v>
      </c>
      <c r="W58" s="132">
        <v>600</v>
      </c>
      <c r="X58" s="134">
        <v>-176.3</v>
      </c>
      <c r="Y58" t="s">
        <v>243</v>
      </c>
      <c r="Z58" s="189">
        <v>422.65</v>
      </c>
      <c r="AA58" s="148">
        <f t="shared" si="2"/>
        <v>1.0500000000000114</v>
      </c>
    </row>
    <row r="59" ht="45.65" customHeight="1" spans="1:25" x14ac:dyDescent="0.25">
      <c r="A59" s="121">
        <v>54</v>
      </c>
      <c r="B59" s="122" t="s">
        <v>238</v>
      </c>
      <c r="C59" s="155" t="s">
        <v>202</v>
      </c>
      <c r="D59" s="154"/>
      <c r="E59" s="154" t="s">
        <v>156</v>
      </c>
      <c r="F59" s="155"/>
      <c r="G59" s="156">
        <v>422.65</v>
      </c>
      <c r="H59" s="125">
        <v>26</v>
      </c>
      <c r="I59" s="125">
        <v>0</v>
      </c>
      <c r="J59" s="126">
        <f t="shared" si="0"/>
        <v>422.6499999999999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422.6499999999999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3"/>
        <v>422.6499999999999</v>
      </c>
      <c r="U59" s="132"/>
      <c r="V59" t="s">
        <v>207</v>
      </c>
      <c r="W59" s="132"/>
      <c r="X59" s="134"/>
      <c r="Y59" t="s">
        <v>243</v>
      </c>
    </row>
    <row r="60" ht="45.65" customHeight="1" spans="1:25" x14ac:dyDescent="0.25">
      <c r="A60" s="121">
        <v>55</v>
      </c>
      <c r="B60" s="122" t="s">
        <v>239</v>
      </c>
      <c r="C60" s="155" t="s">
        <v>170</v>
      </c>
      <c r="D60" s="154"/>
      <c r="E60" s="154" t="s">
        <v>171</v>
      </c>
      <c r="F60" s="155"/>
      <c r="G60" s="157">
        <v>300</v>
      </c>
      <c r="H60" s="125">
        <v>26</v>
      </c>
      <c r="I60" s="125">
        <v>0</v>
      </c>
      <c r="J60" s="126">
        <f t="shared" si="0"/>
        <v>300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300</v>
      </c>
      <c r="P60" s="126">
        <v>0</v>
      </c>
      <c r="Q60" s="151">
        <v>0</v>
      </c>
      <c r="R60" s="126">
        <v>0</v>
      </c>
      <c r="S60" s="152">
        <v>300</v>
      </c>
      <c r="T60" s="127">
        <f t="shared" si="3"/>
        <v>0</v>
      </c>
      <c r="U60" s="132" t="s">
        <v>57</v>
      </c>
      <c r="V60" t="s">
        <v>207</v>
      </c>
      <c r="W60" s="132">
        <v>300</v>
      </c>
      <c r="X60" s="134">
        <v>-300</v>
      </c>
      <c r="Y60" t="s">
        <v>243</v>
      </c>
    </row>
    <row r="61" ht="45.65" customHeight="1" spans="1:25" x14ac:dyDescent="0.25">
      <c r="A61" s="121">
        <v>56</v>
      </c>
      <c r="B61" s="122" t="s">
        <v>240</v>
      </c>
      <c r="C61" s="155" t="s">
        <v>172</v>
      </c>
      <c r="D61" s="154"/>
      <c r="E61" s="154" t="s">
        <v>171</v>
      </c>
      <c r="F61" s="155"/>
      <c r="G61" s="157">
        <v>600</v>
      </c>
      <c r="H61" s="125">
        <v>26</v>
      </c>
      <c r="I61" s="125">
        <v>0</v>
      </c>
      <c r="J61" s="126">
        <f t="shared" si="0"/>
        <v>600</v>
      </c>
      <c r="K61" s="126">
        <v>0</v>
      </c>
      <c r="L61" s="126">
        <v>0</v>
      </c>
      <c r="M61" s="126">
        <v>0</v>
      </c>
      <c r="N61" s="126">
        <v>0</v>
      </c>
      <c r="O61" s="126">
        <f t="shared" si="1"/>
        <v>600</v>
      </c>
      <c r="P61" s="126">
        <v>0</v>
      </c>
      <c r="Q61" s="151">
        <v>0</v>
      </c>
      <c r="R61" s="126">
        <v>0</v>
      </c>
      <c r="S61" s="152">
        <v>600</v>
      </c>
      <c r="T61" s="127">
        <f t="shared" si="3"/>
        <v>0</v>
      </c>
      <c r="U61" s="131" t="s">
        <v>57</v>
      </c>
      <c r="V61" t="s">
        <v>207</v>
      </c>
      <c r="W61" s="132">
        <v>600</v>
      </c>
      <c r="X61" s="134">
        <v>-600</v>
      </c>
      <c r="Y61" t="s">
        <v>243</v>
      </c>
    </row>
    <row r="62" ht="45.65" customHeight="1" spans="1:24" x14ac:dyDescent="0.25">
      <c r="A62" s="121">
        <v>57</v>
      </c>
      <c r="B62" s="122"/>
      <c r="C62" s="155"/>
      <c r="D62" s="154"/>
      <c r="E62" s="154"/>
      <c r="F62" s="155"/>
      <c r="G62" s="157"/>
      <c r="H62" s="125">
        <v>26</v>
      </c>
      <c r="I62" s="125">
        <v>0</v>
      </c>
      <c r="J62" s="126">
        <f t="shared" si="0"/>
        <v>0</v>
      </c>
      <c r="K62" s="126">
        <v>0</v>
      </c>
      <c r="L62" s="126">
        <v>0</v>
      </c>
      <c r="M62" s="126">
        <v>0</v>
      </c>
      <c r="N62" s="126">
        <v>0</v>
      </c>
      <c r="O62" s="126">
        <f t="shared" si="1"/>
        <v>0</v>
      </c>
      <c r="P62" s="126">
        <v>0</v>
      </c>
      <c r="Q62" s="126">
        <v>0</v>
      </c>
      <c r="R62" s="126">
        <v>0</v>
      </c>
      <c r="S62" s="126">
        <v>0</v>
      </c>
      <c r="T62" s="127">
        <f t="shared" si="3"/>
        <v>0</v>
      </c>
      <c r="U62" s="128"/>
      <c r="W62" s="132"/>
      <c r="X62" s="134"/>
    </row>
    <row r="63" ht="45.65" customHeight="1" spans="1:24" x14ac:dyDescent="0.25">
      <c r="A63" s="121">
        <v>58</v>
      </c>
      <c r="B63" s="122"/>
      <c r="C63" s="155"/>
      <c r="D63" s="154"/>
      <c r="E63" s="154"/>
      <c r="F63" s="155"/>
      <c r="G63" s="157"/>
      <c r="H63" s="125">
        <v>26</v>
      </c>
      <c r="I63" s="125">
        <v>0</v>
      </c>
      <c r="J63" s="126">
        <f t="shared" si="0"/>
        <v>0</v>
      </c>
      <c r="K63" s="126">
        <v>0</v>
      </c>
      <c r="L63" s="126">
        <v>0</v>
      </c>
      <c r="M63" s="126">
        <v>0</v>
      </c>
      <c r="N63" s="126">
        <v>0</v>
      </c>
      <c r="O63" s="126">
        <f t="shared" si="1"/>
        <v>0</v>
      </c>
      <c r="P63" s="126">
        <v>0</v>
      </c>
      <c r="Q63" s="126">
        <v>0</v>
      </c>
      <c r="R63" s="126">
        <v>0</v>
      </c>
      <c r="S63" s="126">
        <v>0</v>
      </c>
      <c r="T63" s="127">
        <f t="shared" si="3"/>
        <v>0</v>
      </c>
      <c r="U63" s="128"/>
      <c r="W63" s="132"/>
      <c r="X63" s="134"/>
    </row>
    <row r="64" ht="45.65" customHeight="1" spans="1:24" x14ac:dyDescent="0.25">
      <c r="A64" s="121">
        <v>59</v>
      </c>
      <c r="B64" s="122"/>
      <c r="C64" s="160"/>
      <c r="D64" s="161"/>
      <c r="E64" s="161"/>
      <c r="F64" s="160"/>
      <c r="G64" s="162"/>
      <c r="H64" s="163">
        <v>26</v>
      </c>
      <c r="I64" s="163">
        <v>0</v>
      </c>
      <c r="J64" s="164">
        <f t="shared" si="0"/>
        <v>0</v>
      </c>
      <c r="K64" s="164">
        <v>0</v>
      </c>
      <c r="L64" s="164">
        <v>0</v>
      </c>
      <c r="M64" s="164">
        <v>0</v>
      </c>
      <c r="N64" s="164">
        <v>0</v>
      </c>
      <c r="O64" s="164">
        <f t="shared" si="1"/>
        <v>0</v>
      </c>
      <c r="P64" s="164">
        <v>0</v>
      </c>
      <c r="Q64" s="164">
        <v>0</v>
      </c>
      <c r="R64" s="164">
        <v>0</v>
      </c>
      <c r="S64" s="164">
        <v>0</v>
      </c>
      <c r="T64" s="165">
        <f t="shared" si="3"/>
        <v>0</v>
      </c>
      <c r="U64" s="166"/>
      <c r="W64" s="132"/>
      <c r="X64" s="134"/>
    </row>
    <row r="65" ht="50.15" customHeight="1" spans="1:24" x14ac:dyDescent="0.25">
      <c r="A65" s="184" t="s">
        <v>26</v>
      </c>
      <c r="B65" s="185"/>
      <c r="C65" s="185"/>
      <c r="D65" s="185"/>
      <c r="E65" s="185"/>
      <c r="F65" s="185"/>
      <c r="G65" s="185"/>
      <c r="H65" s="185"/>
      <c r="I65" s="186"/>
      <c r="J65" s="146">
        <f t="shared" ref="J65:T65" si="9">SUBTOTAL(9,J6:J64)</f>
        <v>14541.496153846154</v>
      </c>
      <c r="K65" s="146">
        <f t="shared" si="9"/>
        <v>0</v>
      </c>
      <c r="L65" s="146">
        <f t="shared" si="9"/>
        <v>0</v>
      </c>
      <c r="M65" s="146">
        <f t="shared" si="9"/>
        <v>0</v>
      </c>
      <c r="N65" s="146">
        <f t="shared" si="9"/>
        <v>300</v>
      </c>
      <c r="O65" s="146">
        <f t="shared" si="9"/>
        <v>14841.496153846154</v>
      </c>
      <c r="P65" s="146">
        <f t="shared" si="9"/>
        <v>0</v>
      </c>
      <c r="Q65" s="146">
        <f t="shared" si="9"/>
        <v>124.134</v>
      </c>
      <c r="R65" s="146">
        <f t="shared" si="9"/>
        <v>150</v>
      </c>
      <c r="S65" s="167">
        <f t="shared" si="9"/>
        <v>1276.3</v>
      </c>
      <c r="T65" s="147">
        <f t="shared" si="9"/>
        <v>13291.062153846155</v>
      </c>
      <c r="U65" s="146"/>
      <c r="W65" s="146">
        <f t="shared" ref="W65:X65" si="10">SUBTOTAL(9,W6:W64)</f>
        <v>2100</v>
      </c>
      <c r="X65" s="146">
        <f t="shared" si="10"/>
        <v>-1276.3</v>
      </c>
    </row>
    <row r="69" spans="15:15" x14ac:dyDescent="0.25">
      <c r="O69" s="148"/>
    </row>
  </sheetData>
  <autoFilter ref="A5:X64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4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workbookViewId="0" zoomScale="70" zoomScaleNormal="70">
      <pane ySplit="5" topLeftCell="A6" activePane="bottomLeft" state="frozen"/>
      <selection pane="bottomLeft" activeCell="B52" sqref="B52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hidden="1" customWidth="1"/>
    <col min="22" max="22" width="10.53515625" hidden="1" customWidth="1"/>
    <col min="23" max="23" width="18.3046875" hidden="1" customWidth="1"/>
    <col min="24" max="24" width="17" hidden="1" customWidth="1"/>
    <col min="25" max="25" width="13.3828125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255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spans="1:27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7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v>2</v>
      </c>
      <c r="B7" s="122" t="s">
        <v>257</v>
      </c>
      <c r="C7" s="123" t="s">
        <v>242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7" si="1">J7+K7+L7+M7+N7</f>
        <v>150</v>
      </c>
      <c r="P7" s="126">
        <v>0</v>
      </c>
      <c r="Q7" s="126">
        <v>5.77</v>
      </c>
      <c r="R7" s="126">
        <v>0</v>
      </c>
      <c r="S7" s="126">
        <v>0</v>
      </c>
      <c r="T7" s="127">
        <f>O7-P7-Q7-R7-S7</f>
        <v>144.23</v>
      </c>
      <c r="U7" s="128"/>
      <c r="V7" t="s">
        <v>205</v>
      </c>
      <c r="W7" s="128"/>
      <c r="X7" s="128"/>
      <c r="Z7" s="189">
        <v>69.23</v>
      </c>
      <c r="AA7" s="148">
        <f t="shared" ref="AA7:AA61" si="2">T7-Z7</f>
        <v>74.99999999999999</v>
      </c>
    </row>
    <row r="8" ht="45.65" customHeight="1" spans="1:27" x14ac:dyDescent="0.25">
      <c r="A8" s="121">
        <v>3</v>
      </c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0.99</v>
      </c>
      <c r="R8" s="126">
        <v>0</v>
      </c>
      <c r="S8" s="126">
        <v>0</v>
      </c>
      <c r="T8" s="127">
        <f t="shared" ref="T8:T67" si="3">O8-P8-Q8-R8-S8</f>
        <v>409.01</v>
      </c>
      <c r="U8" s="131"/>
      <c r="V8" t="s">
        <v>207</v>
      </c>
      <c r="X8" s="131"/>
      <c r="Y8" t="s">
        <v>243</v>
      </c>
      <c r="Z8" s="189">
        <v>410</v>
      </c>
      <c r="AA8" s="148">
        <f t="shared" si="2"/>
        <v>-0.9900000000000091</v>
      </c>
    </row>
    <row r="9" ht="45.65" customHeight="1" spans="1:27" x14ac:dyDescent="0.25">
      <c r="A9" s="121"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3"/>
        <v>255.00000000000003</v>
      </c>
      <c r="U9" s="132"/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spans="1:27" x14ac:dyDescent="0.25">
      <c r="A10" s="121"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3"/>
        <v>430.00000000000006</v>
      </c>
      <c r="U11" s="132"/>
      <c r="V11" t="s">
        <v>205</v>
      </c>
      <c r="W11" s="132"/>
      <c r="X11" s="132"/>
      <c r="Z11" s="189">
        <v>430</v>
      </c>
      <c r="AA11" s="148">
        <f t="shared" si="2"/>
        <v>0</v>
      </c>
    </row>
    <row r="12" ht="45.65" customHeight="1" spans="1:27" x14ac:dyDescent="0.25">
      <c r="A12" s="121"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3"/>
        <v>189.99999999999997</v>
      </c>
      <c r="U12" s="132"/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0</v>
      </c>
    </row>
    <row r="13" ht="45.65" customHeight="1" spans="1:27" x14ac:dyDescent="0.25">
      <c r="A13" s="121"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50</v>
      </c>
      <c r="M13" s="126">
        <v>0</v>
      </c>
      <c r="N13" s="126">
        <v>0</v>
      </c>
      <c r="O13" s="126">
        <f t="shared" si="1"/>
        <v>380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380</v>
      </c>
      <c r="U13" s="132"/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50</v>
      </c>
    </row>
    <row r="14" ht="45.65" customHeight="1" spans="1:27" s="195" customFormat="1" x14ac:dyDescent="0.25">
      <c r="A14" s="196">
        <v>9</v>
      </c>
      <c r="B14" s="197" t="s">
        <v>261</v>
      </c>
      <c r="C14" s="198" t="s">
        <v>114</v>
      </c>
      <c r="D14" s="199" t="s">
        <v>100</v>
      </c>
      <c r="E14" s="199" t="s">
        <v>98</v>
      </c>
      <c r="F14" s="198" t="s">
        <v>59</v>
      </c>
      <c r="G14" s="200">
        <v>480</v>
      </c>
      <c r="H14" s="201">
        <v>0</v>
      </c>
      <c r="I14" s="201"/>
      <c r="J14" s="202">
        <f t="shared" si="0"/>
        <v>0</v>
      </c>
      <c r="K14" s="202">
        <v>0</v>
      </c>
      <c r="L14" s="202">
        <v>0</v>
      </c>
      <c r="M14" s="202">
        <v>0</v>
      </c>
      <c r="N14" s="202">
        <v>0</v>
      </c>
      <c r="O14" s="202">
        <f t="shared" si="1"/>
        <v>0</v>
      </c>
      <c r="P14" s="202">
        <v>0</v>
      </c>
      <c r="Q14" s="202">
        <v>0</v>
      </c>
      <c r="R14" s="202">
        <v>0</v>
      </c>
      <c r="S14" s="202">
        <v>0</v>
      </c>
      <c r="T14" s="203">
        <f t="shared" si="3"/>
        <v>0</v>
      </c>
      <c r="U14" s="204"/>
      <c r="V14" s="195" t="s">
        <v>205</v>
      </c>
      <c r="W14" s="204"/>
      <c r="X14" s="204"/>
      <c r="Z14" s="205">
        <v>0</v>
      </c>
      <c r="AA14" s="206">
        <f t="shared" si="2"/>
        <v>0</v>
      </c>
    </row>
    <row r="15" ht="45.65" customHeight="1" spans="1:27" x14ac:dyDescent="0.25">
      <c r="A15" s="121"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200</v>
      </c>
      <c r="U15" s="132"/>
      <c r="V15" t="s">
        <v>207</v>
      </c>
      <c r="W15" s="132"/>
      <c r="X15" s="132"/>
      <c r="Y15" t="s">
        <v>243</v>
      </c>
      <c r="Z15" s="189">
        <v>200</v>
      </c>
      <c r="AA15" s="148">
        <f t="shared" si="2"/>
        <v>0</v>
      </c>
    </row>
    <row r="16" ht="45.65" customHeight="1" spans="1:27" x14ac:dyDescent="0.25">
      <c r="A16" s="121"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3"/>
        <v>430.00000000000006</v>
      </c>
      <c r="U16" s="132"/>
      <c r="V16" t="s">
        <v>207</v>
      </c>
      <c r="W16" s="132"/>
      <c r="X16" s="132"/>
      <c r="Y16" t="s">
        <v>243</v>
      </c>
      <c r="Z16" s="189">
        <v>430</v>
      </c>
      <c r="AA16" s="148">
        <f t="shared" si="2"/>
        <v>0</v>
      </c>
    </row>
    <row r="17" ht="45.65" customHeight="1" spans="1:27" x14ac:dyDescent="0.25">
      <c r="A17" s="121"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3"/>
        <v>400</v>
      </c>
      <c r="U17" s="132"/>
      <c r="V17" t="s">
        <v>207</v>
      </c>
      <c r="W17" s="132"/>
      <c r="X17" s="132"/>
      <c r="Y17" t="s">
        <v>243</v>
      </c>
      <c r="Z17" s="189">
        <v>395.67</v>
      </c>
      <c r="AA17" s="148">
        <f t="shared" si="2"/>
        <v>4.329999999999984</v>
      </c>
    </row>
    <row r="18" ht="45.65" customHeight="1" spans="1:27" x14ac:dyDescent="0.25">
      <c r="A18" s="121"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600</v>
      </c>
      <c r="U18" s="132"/>
      <c r="V18" t="s">
        <v>207</v>
      </c>
      <c r="W18" s="132"/>
      <c r="X18" s="132"/>
      <c r="Y18" t="s">
        <v>243</v>
      </c>
      <c r="Z18" s="189">
        <v>600</v>
      </c>
      <c r="AA18" s="148">
        <f t="shared" si="2"/>
        <v>0</v>
      </c>
    </row>
    <row r="19" ht="45.65" customHeight="1" spans="1:27" x14ac:dyDescent="0.25">
      <c r="A19" s="121">
        <v>14</v>
      </c>
      <c r="B19" s="122" t="s">
        <v>215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3"/>
        <v>300</v>
      </c>
      <c r="U19" s="132"/>
      <c r="V19" t="s">
        <v>207</v>
      </c>
      <c r="W19" s="132"/>
      <c r="X19" s="132"/>
      <c r="Y19" t="s">
        <v>243</v>
      </c>
      <c r="Z19" s="189">
        <v>300</v>
      </c>
      <c r="AA19" s="148">
        <f t="shared" si="2"/>
        <v>0</v>
      </c>
    </row>
    <row r="20" ht="45.65" customHeight="1" spans="1:27" x14ac:dyDescent="0.25">
      <c r="A20" s="121"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3"/>
        <v>250</v>
      </c>
      <c r="U20" s="132"/>
      <c r="V20" t="s">
        <v>207</v>
      </c>
      <c r="W20" s="133"/>
      <c r="X20" s="134"/>
      <c r="Y20" t="s">
        <v>243</v>
      </c>
      <c r="Z20" s="189">
        <v>250</v>
      </c>
      <c r="AA20" s="148">
        <f t="shared" si="2"/>
        <v>0</v>
      </c>
    </row>
    <row r="21" ht="45.65" customHeight="1" spans="1:27" x14ac:dyDescent="0.25">
      <c r="A21" s="121">
        <v>16</v>
      </c>
      <c r="B21" s="122" t="s">
        <v>262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3"/>
        <v>100</v>
      </c>
      <c r="U21" s="132"/>
      <c r="V21" t="s">
        <v>205</v>
      </c>
      <c r="W21" s="132"/>
      <c r="X21" s="132"/>
      <c r="Z21" s="189">
        <v>100</v>
      </c>
      <c r="AA21" s="148">
        <f t="shared" si="2"/>
        <v>0</v>
      </c>
    </row>
    <row r="22" ht="45.65" customHeight="1" spans="1:27" x14ac:dyDescent="0.25">
      <c r="A22" s="121">
        <v>17</v>
      </c>
      <c r="B22" s="122" t="s">
        <v>263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3"/>
        <v>400</v>
      </c>
      <c r="U22" s="132"/>
      <c r="V22" t="s">
        <v>205</v>
      </c>
      <c r="W22" s="132"/>
      <c r="X22" s="132"/>
      <c r="Z22" s="189">
        <v>400</v>
      </c>
      <c r="AA22" s="148">
        <f t="shared" si="2"/>
        <v>0</v>
      </c>
    </row>
    <row r="23" ht="45.65" customHeight="1" spans="1:27" x14ac:dyDescent="0.25">
      <c r="A23" s="121"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3"/>
        <v>300</v>
      </c>
      <c r="U23" s="132"/>
      <c r="V23" t="s">
        <v>207</v>
      </c>
      <c r="W23" s="132"/>
      <c r="X23" s="132"/>
      <c r="Y23" t="s">
        <v>243</v>
      </c>
      <c r="Z23" s="189">
        <v>300</v>
      </c>
      <c r="AA23" s="148">
        <f t="shared" si="2"/>
        <v>0</v>
      </c>
    </row>
    <row r="24" ht="45.65" customHeight="1" spans="1:27" s="195" customFormat="1" x14ac:dyDescent="0.25">
      <c r="A24" s="196">
        <v>19</v>
      </c>
      <c r="B24" s="197" t="s">
        <v>264</v>
      </c>
      <c r="C24" s="153" t="s">
        <v>136</v>
      </c>
      <c r="D24" s="207" t="s">
        <v>109</v>
      </c>
      <c r="E24" s="207" t="s">
        <v>98</v>
      </c>
      <c r="F24" s="153" t="s">
        <v>137</v>
      </c>
      <c r="G24" s="197">
        <v>50</v>
      </c>
      <c r="H24" s="208">
        <v>0</v>
      </c>
      <c r="I24" s="208">
        <v>0</v>
      </c>
      <c r="J24" s="152">
        <f t="shared" si="0"/>
        <v>0</v>
      </c>
      <c r="K24" s="152">
        <v>0</v>
      </c>
      <c r="L24" s="152">
        <v>0</v>
      </c>
      <c r="M24" s="152">
        <v>0</v>
      </c>
      <c r="N24" s="152">
        <v>0</v>
      </c>
      <c r="O24" s="152">
        <f t="shared" si="1"/>
        <v>0</v>
      </c>
      <c r="P24" s="152">
        <v>0</v>
      </c>
      <c r="Q24" s="152">
        <v>0</v>
      </c>
      <c r="R24" s="152">
        <v>0</v>
      </c>
      <c r="S24" s="152">
        <v>0</v>
      </c>
      <c r="T24" s="209">
        <f t="shared" si="3"/>
        <v>0</v>
      </c>
      <c r="U24" s="204"/>
      <c r="V24" s="195" t="s">
        <v>205</v>
      </c>
      <c r="W24" s="204"/>
      <c r="X24" s="204"/>
      <c r="Z24" s="205">
        <v>50</v>
      </c>
      <c r="AA24" s="206">
        <f t="shared" si="2"/>
        <v>-50</v>
      </c>
    </row>
    <row r="25" ht="45.65" customHeight="1" spans="1:27" s="195" customFormat="1" x14ac:dyDescent="0.25">
      <c r="A25" s="196">
        <v>20</v>
      </c>
      <c r="B25" s="197" t="s">
        <v>265</v>
      </c>
      <c r="C25" s="153" t="s">
        <v>266</v>
      </c>
      <c r="D25" s="207" t="s">
        <v>109</v>
      </c>
      <c r="E25" s="207" t="s">
        <v>98</v>
      </c>
      <c r="F25" s="153"/>
      <c r="G25" s="197">
        <v>50</v>
      </c>
      <c r="H25" s="208">
        <v>26</v>
      </c>
      <c r="I25" s="208">
        <v>0</v>
      </c>
      <c r="J25" s="152">
        <f t="shared" ref="J25" si="4">G25/26*H25</f>
        <v>50</v>
      </c>
      <c r="K25" s="152">
        <v>0</v>
      </c>
      <c r="L25" s="152">
        <v>0</v>
      </c>
      <c r="M25" s="152">
        <v>0</v>
      </c>
      <c r="N25" s="152">
        <v>0</v>
      </c>
      <c r="O25" s="152">
        <f t="shared" ref="O25" si="5">J25+K25+L25+M25+N25</f>
        <v>50</v>
      </c>
      <c r="P25" s="152">
        <v>0</v>
      </c>
      <c r="Q25" s="152">
        <v>0</v>
      </c>
      <c r="R25" s="152">
        <v>0</v>
      </c>
      <c r="S25" s="152">
        <v>0</v>
      </c>
      <c r="T25" s="209">
        <f t="shared" ref="T25" si="6">O25-P25-Q25-R25-S25</f>
        <v>50</v>
      </c>
      <c r="U25" s="204"/>
      <c r="W25" s="204"/>
      <c r="X25" s="204"/>
      <c r="Z25" s="205"/>
      <c r="AA25" s="206"/>
    </row>
    <row r="26" ht="45.65" customHeight="1" spans="1:29" x14ac:dyDescent="0.25">
      <c r="A26" s="121">
        <v>20</v>
      </c>
      <c r="B26" s="122" t="s">
        <v>267</v>
      </c>
      <c r="C26" s="123" t="s">
        <v>138</v>
      </c>
      <c r="D26" s="124" t="s">
        <v>109</v>
      </c>
      <c r="E26" s="124" t="s">
        <v>98</v>
      </c>
      <c r="F26" s="123" t="s">
        <v>139</v>
      </c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5.77</v>
      </c>
      <c r="R26" s="126">
        <v>0</v>
      </c>
      <c r="S26" s="126">
        <v>0</v>
      </c>
      <c r="T26" s="127">
        <f t="shared" si="3"/>
        <v>144.23</v>
      </c>
      <c r="U26" s="132"/>
      <c r="V26" t="s">
        <v>205</v>
      </c>
      <c r="W26" s="132"/>
      <c r="X26" s="132"/>
      <c r="Z26" s="189">
        <v>147.12</v>
      </c>
      <c r="AA26" s="148">
        <f t="shared" si="2"/>
        <v>-2.890000000000015</v>
      </c>
      <c r="AC26">
        <f>150-147.116</f>
        <v>2.883999999999986</v>
      </c>
    </row>
    <row r="27" ht="45.65" customHeight="1" spans="1:27" x14ac:dyDescent="0.25">
      <c r="A27" s="121">
        <v>21</v>
      </c>
      <c r="B27" s="122" t="s">
        <v>219</v>
      </c>
      <c r="C27" s="123" t="s">
        <v>220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50</v>
      </c>
      <c r="M27" s="126">
        <v>0</v>
      </c>
      <c r="N27" s="126">
        <v>0</v>
      </c>
      <c r="O27" s="126">
        <f t="shared" si="1"/>
        <v>200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200</v>
      </c>
      <c r="U27" s="132"/>
      <c r="V27" t="s">
        <v>207</v>
      </c>
      <c r="W27" s="132"/>
      <c r="X27" s="132"/>
      <c r="Y27" t="s">
        <v>243</v>
      </c>
      <c r="Z27" s="189">
        <v>150</v>
      </c>
      <c r="AA27" s="148">
        <f t="shared" si="2"/>
        <v>50</v>
      </c>
    </row>
    <row r="28" ht="45.65" customHeight="1" spans="1:27" x14ac:dyDescent="0.25">
      <c r="A28" s="121">
        <v>22</v>
      </c>
      <c r="B28" s="122" t="s">
        <v>221</v>
      </c>
      <c r="C28" s="123" t="s">
        <v>222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40</v>
      </c>
      <c r="M28" s="126">
        <v>0</v>
      </c>
      <c r="N28" s="126">
        <v>0</v>
      </c>
      <c r="O28" s="126">
        <f t="shared" si="1"/>
        <v>190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190</v>
      </c>
      <c r="U28" s="132"/>
      <c r="V28" t="s">
        <v>207</v>
      </c>
      <c r="W28" s="132"/>
      <c r="X28" s="132"/>
      <c r="Y28" t="s">
        <v>243</v>
      </c>
      <c r="Z28" s="189">
        <v>150</v>
      </c>
      <c r="AA28" s="148">
        <f t="shared" si="2"/>
        <v>40</v>
      </c>
    </row>
    <row r="29" ht="45.65" customHeight="1" spans="1:27" x14ac:dyDescent="0.25">
      <c r="A29" s="121">
        <v>23</v>
      </c>
      <c r="B29" s="122" t="s">
        <v>268</v>
      </c>
      <c r="C29" s="123" t="s">
        <v>143</v>
      </c>
      <c r="D29" s="124" t="s">
        <v>116</v>
      </c>
      <c r="E29" s="124" t="s">
        <v>98</v>
      </c>
      <c r="F29" s="123"/>
      <c r="G29" s="122">
        <v>100</v>
      </c>
      <c r="H29" s="125">
        <v>26</v>
      </c>
      <c r="I29" s="125">
        <v>0</v>
      </c>
      <c r="J29" s="126">
        <f t="shared" si="0"/>
        <v>100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100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100</v>
      </c>
      <c r="U29" s="132"/>
      <c r="V29" t="s">
        <v>205</v>
      </c>
      <c r="W29" s="132"/>
      <c r="X29" s="132"/>
      <c r="Z29" s="189">
        <v>100</v>
      </c>
      <c r="AA29" s="148">
        <f t="shared" si="2"/>
        <v>0</v>
      </c>
    </row>
    <row r="30" ht="45.65" customHeight="1" spans="1:27" x14ac:dyDescent="0.25">
      <c r="A30" s="121">
        <v>24</v>
      </c>
      <c r="B30" s="122" t="s">
        <v>269</v>
      </c>
      <c r="C30" s="123" t="s">
        <v>144</v>
      </c>
      <c r="D30" s="124" t="s">
        <v>141</v>
      </c>
      <c r="E30" s="124" t="s">
        <v>98</v>
      </c>
      <c r="F30" s="123" t="s">
        <v>69</v>
      </c>
      <c r="G30" s="122">
        <v>80</v>
      </c>
      <c r="H30" s="125">
        <v>26</v>
      </c>
      <c r="I30" s="125">
        <v>0</v>
      </c>
      <c r="J30" s="126">
        <f t="shared" si="0"/>
        <v>80</v>
      </c>
      <c r="K30" s="126">
        <v>0</v>
      </c>
      <c r="L30" s="126">
        <v>30</v>
      </c>
      <c r="M30" s="126">
        <v>0</v>
      </c>
      <c r="N30" s="126">
        <v>0</v>
      </c>
      <c r="O30" s="126">
        <f t="shared" si="1"/>
        <v>110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110</v>
      </c>
      <c r="U30" s="132"/>
      <c r="V30" t="s">
        <v>205</v>
      </c>
      <c r="W30" s="132"/>
      <c r="X30" s="132"/>
      <c r="Z30" s="189">
        <v>80</v>
      </c>
      <c r="AA30" s="148">
        <f t="shared" si="2"/>
        <v>30</v>
      </c>
    </row>
    <row r="31" ht="45.65" customHeight="1" spans="1:27" x14ac:dyDescent="0.25">
      <c r="A31" s="121">
        <v>25</v>
      </c>
      <c r="B31" s="122" t="s">
        <v>270</v>
      </c>
      <c r="C31" s="123" t="s">
        <v>145</v>
      </c>
      <c r="D31" s="124" t="s">
        <v>97</v>
      </c>
      <c r="E31" s="124" t="s">
        <v>146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150</v>
      </c>
      <c r="U31" s="132"/>
      <c r="V31" t="s">
        <v>205</v>
      </c>
      <c r="W31" s="132"/>
      <c r="X31" s="132"/>
      <c r="Z31" s="189">
        <v>150</v>
      </c>
      <c r="AA31" s="148">
        <f t="shared" si="2"/>
        <v>0</v>
      </c>
    </row>
    <row r="32" ht="45.65" customHeight="1" spans="1:27" x14ac:dyDescent="0.25">
      <c r="A32" s="121">
        <v>26</v>
      </c>
      <c r="B32" s="122" t="s">
        <v>223</v>
      </c>
      <c r="C32" s="123" t="s">
        <v>224</v>
      </c>
      <c r="D32" s="124" t="s">
        <v>141</v>
      </c>
      <c r="E32" s="124" t="s">
        <v>110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40</v>
      </c>
      <c r="M32" s="126">
        <v>0</v>
      </c>
      <c r="N32" s="126">
        <v>0</v>
      </c>
      <c r="O32" s="126">
        <f t="shared" si="1"/>
        <v>190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190</v>
      </c>
      <c r="U32" s="132"/>
      <c r="V32" t="s">
        <v>207</v>
      </c>
      <c r="W32" s="132"/>
      <c r="X32" s="132"/>
      <c r="Y32" t="s">
        <v>243</v>
      </c>
      <c r="Z32" s="189">
        <v>150</v>
      </c>
      <c r="AA32" s="148">
        <f t="shared" si="2"/>
        <v>40</v>
      </c>
    </row>
    <row r="33" ht="45.65" customHeight="1" spans="1:27" x14ac:dyDescent="0.25">
      <c r="A33" s="121">
        <v>27</v>
      </c>
      <c r="B33" s="122" t="s">
        <v>271</v>
      </c>
      <c r="C33" s="123" t="s">
        <v>148</v>
      </c>
      <c r="D33" s="124" t="s">
        <v>116</v>
      </c>
      <c r="E33" s="124" t="s">
        <v>110</v>
      </c>
      <c r="F33" s="123"/>
      <c r="G33" s="122">
        <v>200</v>
      </c>
      <c r="H33" s="125">
        <v>26</v>
      </c>
      <c r="I33" s="125">
        <v>0</v>
      </c>
      <c r="J33" s="126">
        <f t="shared" si="0"/>
        <v>200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200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200</v>
      </c>
      <c r="U33" s="132"/>
      <c r="V33" t="s">
        <v>205</v>
      </c>
      <c r="W33" s="132"/>
      <c r="X33" s="132"/>
      <c r="Z33" s="189">
        <v>200</v>
      </c>
      <c r="AA33" s="148">
        <f t="shared" si="2"/>
        <v>0</v>
      </c>
    </row>
    <row r="34" ht="45.65" customHeight="1" spans="1:27" x14ac:dyDescent="0.25">
      <c r="A34" s="121">
        <v>28</v>
      </c>
      <c r="B34" s="122" t="s">
        <v>272</v>
      </c>
      <c r="C34" s="123" t="s">
        <v>149</v>
      </c>
      <c r="D34" s="124" t="s">
        <v>116</v>
      </c>
      <c r="E34" s="124" t="s">
        <v>98</v>
      </c>
      <c r="F34" s="123"/>
      <c r="G34" s="122">
        <v>250</v>
      </c>
      <c r="H34" s="125">
        <v>26</v>
      </c>
      <c r="I34" s="125">
        <v>0</v>
      </c>
      <c r="J34" s="126">
        <f t="shared" si="0"/>
        <v>250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250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3"/>
        <v>250</v>
      </c>
      <c r="U34" s="132"/>
      <c r="V34" t="s">
        <v>205</v>
      </c>
      <c r="W34" s="132"/>
      <c r="X34" s="134"/>
      <c r="Z34" s="189">
        <v>250</v>
      </c>
      <c r="AA34" s="148">
        <f t="shared" si="2"/>
        <v>0</v>
      </c>
    </row>
    <row r="35" ht="45.65" customHeight="1" spans="1:27" x14ac:dyDescent="0.25">
      <c r="A35" s="121">
        <v>29</v>
      </c>
      <c r="B35" s="192" t="s">
        <v>225</v>
      </c>
      <c r="C35" s="190" t="s">
        <v>189</v>
      </c>
      <c r="D35" s="191" t="s">
        <v>97</v>
      </c>
      <c r="E35" s="191" t="s">
        <v>98</v>
      </c>
      <c r="F35" s="190" t="s">
        <v>151</v>
      </c>
      <c r="G35" s="192">
        <v>384.23</v>
      </c>
      <c r="H35" s="193">
        <v>0</v>
      </c>
      <c r="I35" s="193">
        <v>0</v>
      </c>
      <c r="J35" s="150">
        <f t="shared" si="0"/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f t="shared" si="1"/>
        <v>0</v>
      </c>
      <c r="P35" s="150">
        <v>0</v>
      </c>
      <c r="Q35" s="150">
        <v>0</v>
      </c>
      <c r="R35" s="150">
        <v>0</v>
      </c>
      <c r="S35" s="150">
        <v>0</v>
      </c>
      <c r="T35" s="194">
        <f t="shared" si="3"/>
        <v>0</v>
      </c>
      <c r="U35" s="132"/>
      <c r="V35" t="s">
        <v>207</v>
      </c>
      <c r="W35" s="132"/>
      <c r="X35" s="132"/>
      <c r="Y35" t="s">
        <v>243</v>
      </c>
      <c r="Z35" s="189">
        <v>0</v>
      </c>
      <c r="AA35" s="148">
        <f t="shared" si="2"/>
        <v>0</v>
      </c>
    </row>
    <row r="36" ht="45.65" customHeight="1" spans="1:27" x14ac:dyDescent="0.25">
      <c r="A36" s="121">
        <v>30</v>
      </c>
      <c r="B36" s="122" t="s">
        <v>226</v>
      </c>
      <c r="C36" s="123" t="s">
        <v>152</v>
      </c>
      <c r="D36" s="124" t="s">
        <v>97</v>
      </c>
      <c r="E36" s="124" t="s">
        <v>98</v>
      </c>
      <c r="F36" s="123" t="s">
        <v>153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270</v>
      </c>
      <c r="U36" s="132"/>
      <c r="V36" t="s">
        <v>207</v>
      </c>
      <c r="W36" s="132"/>
      <c r="X36" s="132"/>
      <c r="Y36" t="s">
        <v>243</v>
      </c>
      <c r="Z36" s="189">
        <v>270</v>
      </c>
      <c r="AA36" s="148">
        <f t="shared" si="2"/>
        <v>0</v>
      </c>
    </row>
    <row r="37" ht="45.65" customHeight="1" spans="1:27" x14ac:dyDescent="0.25">
      <c r="A37" s="121">
        <v>31</v>
      </c>
      <c r="B37" s="122" t="s">
        <v>273</v>
      </c>
      <c r="C37" s="123" t="s">
        <v>246</v>
      </c>
      <c r="D37" s="124" t="s">
        <v>100</v>
      </c>
      <c r="E37" s="124" t="s">
        <v>98</v>
      </c>
      <c r="F37" s="123"/>
      <c r="G37" s="122">
        <v>280</v>
      </c>
      <c r="H37" s="125">
        <v>26</v>
      </c>
      <c r="I37" s="125">
        <v>0</v>
      </c>
      <c r="J37" s="126">
        <f t="shared" si="0"/>
        <v>280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280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3"/>
        <v>280</v>
      </c>
      <c r="U37" s="132"/>
      <c r="V37" t="s">
        <v>205</v>
      </c>
      <c r="W37" s="132"/>
      <c r="X37" s="132"/>
      <c r="Z37" s="189">
        <v>280</v>
      </c>
      <c r="AA37" s="148">
        <f t="shared" si="2"/>
        <v>0</v>
      </c>
    </row>
    <row r="38" ht="45.65" customHeight="1" spans="1:27" x14ac:dyDescent="0.25">
      <c r="A38" s="121">
        <v>32</v>
      </c>
      <c r="B38" s="129" t="s">
        <v>274</v>
      </c>
      <c r="C38" s="130" t="s">
        <v>155</v>
      </c>
      <c r="D38" s="124" t="s">
        <v>97</v>
      </c>
      <c r="E38" s="124" t="s">
        <v>156</v>
      </c>
      <c r="F38" s="130" t="s">
        <v>157</v>
      </c>
      <c r="G38" s="129">
        <v>200</v>
      </c>
      <c r="H38" s="125">
        <v>26</v>
      </c>
      <c r="I38" s="125">
        <v>0</v>
      </c>
      <c r="J38" s="126">
        <f t="shared" si="0"/>
        <v>200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200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3"/>
        <v>200</v>
      </c>
      <c r="U38" s="132"/>
      <c r="V38" t="s">
        <v>205</v>
      </c>
      <c r="W38" s="132"/>
      <c r="X38" s="132"/>
      <c r="Z38" s="189">
        <v>0</v>
      </c>
      <c r="AA38" s="148">
        <f t="shared" si="2"/>
        <v>200</v>
      </c>
    </row>
    <row r="39" ht="45.65" customHeight="1" spans="1:27" x14ac:dyDescent="0.25">
      <c r="A39" s="121">
        <v>33</v>
      </c>
      <c r="B39" s="122" t="s">
        <v>227</v>
      </c>
      <c r="C39" s="123" t="s">
        <v>191</v>
      </c>
      <c r="D39" s="124" t="s">
        <v>97</v>
      </c>
      <c r="E39" s="124" t="s">
        <v>98</v>
      </c>
      <c r="F39" s="123"/>
      <c r="G39" s="122">
        <v>600</v>
      </c>
      <c r="H39" s="125">
        <v>26</v>
      </c>
      <c r="I39" s="125">
        <v>0</v>
      </c>
      <c r="J39" s="126">
        <f t="shared" si="0"/>
        <v>600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600</v>
      </c>
      <c r="P39" s="126">
        <v>0</v>
      </c>
      <c r="Q39" s="151">
        <v>2.89</v>
      </c>
      <c r="R39" s="126">
        <v>0</v>
      </c>
      <c r="S39" s="152">
        <v>200</v>
      </c>
      <c r="T39" s="127">
        <f t="shared" si="3"/>
        <v>397.11</v>
      </c>
      <c r="U39" s="132" t="s">
        <v>57</v>
      </c>
      <c r="V39" t="s">
        <v>207</v>
      </c>
      <c r="W39" s="132">
        <v>600</v>
      </c>
      <c r="X39" s="134">
        <v>-200</v>
      </c>
      <c r="Y39" t="s">
        <v>243</v>
      </c>
      <c r="Z39" s="189">
        <v>600</v>
      </c>
      <c r="AA39" s="148">
        <f t="shared" si="2"/>
        <v>-202.89</v>
      </c>
    </row>
    <row r="40" ht="45.65" customHeight="1" spans="1:27" x14ac:dyDescent="0.25">
      <c r="A40" s="196">
        <v>34</v>
      </c>
      <c r="B40" s="197" t="s">
        <v>228</v>
      </c>
      <c r="C40" s="153" t="s">
        <v>247</v>
      </c>
      <c r="D40" s="207" t="s">
        <v>97</v>
      </c>
      <c r="E40" s="207" t="s">
        <v>156</v>
      </c>
      <c r="F40" s="153" t="s">
        <v>160</v>
      </c>
      <c r="G40" s="197">
        <v>450</v>
      </c>
      <c r="H40" s="208"/>
      <c r="I40" s="208">
        <v>0</v>
      </c>
      <c r="J40" s="152">
        <f t="shared" si="0"/>
        <v>0</v>
      </c>
      <c r="K40" s="152">
        <v>0</v>
      </c>
      <c r="L40" s="152">
        <v>0</v>
      </c>
      <c r="M40" s="152">
        <v>0</v>
      </c>
      <c r="N40" s="152">
        <v>0</v>
      </c>
      <c r="O40" s="152">
        <f t="shared" si="1"/>
        <v>0</v>
      </c>
      <c r="P40" s="152">
        <v>0</v>
      </c>
      <c r="Q40" s="152">
        <v>0</v>
      </c>
      <c r="R40" s="152">
        <v>0</v>
      </c>
      <c r="S40" s="152">
        <v>0</v>
      </c>
      <c r="T40" s="209">
        <f t="shared" si="3"/>
        <v>0</v>
      </c>
      <c r="U40" s="132"/>
      <c r="V40" t="s">
        <v>207</v>
      </c>
      <c r="W40" s="132"/>
      <c r="X40" s="132"/>
      <c r="Y40" t="s">
        <v>243</v>
      </c>
      <c r="Z40" s="189">
        <v>103.85</v>
      </c>
      <c r="AA40" s="148">
        <f t="shared" si="2"/>
        <v>-103.85</v>
      </c>
    </row>
    <row r="41" ht="45.65" customHeight="1" spans="1:27" x14ac:dyDescent="0.25">
      <c r="A41" s="121">
        <v>35</v>
      </c>
      <c r="B41" s="122" t="s">
        <v>229</v>
      </c>
      <c r="C41" s="123" t="s">
        <v>161</v>
      </c>
      <c r="D41" s="124" t="s">
        <v>97</v>
      </c>
      <c r="E41" s="124" t="s">
        <v>156</v>
      </c>
      <c r="F41" s="123" t="s">
        <v>162</v>
      </c>
      <c r="G41" s="122">
        <v>550</v>
      </c>
      <c r="H41" s="125">
        <v>26</v>
      </c>
      <c r="I41" s="125">
        <v>0</v>
      </c>
      <c r="J41" s="126">
        <f t="shared" si="0"/>
        <v>550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550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3"/>
        <v>550</v>
      </c>
      <c r="U41" s="132"/>
      <c r="V41" t="s">
        <v>207</v>
      </c>
      <c r="W41" s="132"/>
      <c r="X41" s="132"/>
      <c r="Y41" t="s">
        <v>243</v>
      </c>
      <c r="Z41" s="189">
        <v>550</v>
      </c>
      <c r="AA41" s="148">
        <f t="shared" si="2"/>
        <v>0</v>
      </c>
    </row>
    <row r="42" ht="45.65" customHeight="1" spans="1:27" x14ac:dyDescent="0.25">
      <c r="A42" s="121">
        <v>36</v>
      </c>
      <c r="B42" s="122" t="s">
        <v>230</v>
      </c>
      <c r="C42" s="123" t="s">
        <v>163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5.77</v>
      </c>
      <c r="R42" s="126">
        <v>0</v>
      </c>
      <c r="S42" s="126">
        <v>0</v>
      </c>
      <c r="T42" s="127">
        <f t="shared" si="3"/>
        <v>444.23</v>
      </c>
      <c r="U42" s="132"/>
      <c r="V42" t="s">
        <v>207</v>
      </c>
      <c r="W42" s="132"/>
      <c r="X42" s="132"/>
      <c r="Y42" t="s">
        <v>243</v>
      </c>
      <c r="Z42" s="189">
        <v>448.08</v>
      </c>
      <c r="AA42" s="148">
        <f t="shared" si="2"/>
        <v>-3.849999999999966</v>
      </c>
    </row>
    <row r="43" ht="45.65" customHeight="1" spans="1:27" x14ac:dyDescent="0.25">
      <c r="A43" s="121">
        <v>37</v>
      </c>
      <c r="B43" s="122" t="s">
        <v>231</v>
      </c>
      <c r="C43" s="123" t="s">
        <v>165</v>
      </c>
      <c r="D43" s="124" t="s">
        <v>97</v>
      </c>
      <c r="E43" s="124" t="s">
        <v>156</v>
      </c>
      <c r="F43" s="123" t="s">
        <v>164</v>
      </c>
      <c r="G43" s="122">
        <v>450</v>
      </c>
      <c r="H43" s="125">
        <v>20</v>
      </c>
      <c r="I43" s="125">
        <v>0</v>
      </c>
      <c r="J43" s="126">
        <f t="shared" si="0"/>
        <v>346.15384615384613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346.15384615384613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3"/>
        <v>346.15384615384613</v>
      </c>
      <c r="U43" s="132"/>
      <c r="V43" t="s">
        <v>207</v>
      </c>
      <c r="W43" s="132"/>
      <c r="X43" s="132"/>
      <c r="Y43" t="s">
        <v>243</v>
      </c>
      <c r="Z43" s="189">
        <v>450</v>
      </c>
      <c r="AA43" s="148">
        <f t="shared" si="2"/>
        <v>-103.84615384615387</v>
      </c>
    </row>
    <row r="44" ht="45.65" customHeight="1" spans="1:27" x14ac:dyDescent="0.25">
      <c r="A44" s="121">
        <v>38</v>
      </c>
      <c r="B44" s="122" t="s">
        <v>233</v>
      </c>
      <c r="C44" s="123" t="s">
        <v>166</v>
      </c>
      <c r="D44" s="124" t="s">
        <v>100</v>
      </c>
      <c r="E44" s="124" t="s">
        <v>98</v>
      </c>
      <c r="F44" s="123" t="s">
        <v>167</v>
      </c>
      <c r="G44" s="122">
        <v>260</v>
      </c>
      <c r="H44" s="125">
        <v>26</v>
      </c>
      <c r="I44" s="125">
        <v>0</v>
      </c>
      <c r="J44" s="126">
        <f t="shared" si="0"/>
        <v>260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260</v>
      </c>
      <c r="P44" s="126">
        <v>0</v>
      </c>
      <c r="Q44" s="126">
        <v>15</v>
      </c>
      <c r="R44" s="126">
        <v>0</v>
      </c>
      <c r="S44" s="126">
        <v>0</v>
      </c>
      <c r="T44" s="127">
        <f t="shared" si="3"/>
        <v>245</v>
      </c>
      <c r="U44" s="132"/>
      <c r="V44" t="s">
        <v>207</v>
      </c>
      <c r="W44" s="132"/>
      <c r="X44" s="132"/>
      <c r="Y44" t="s">
        <v>243</v>
      </c>
      <c r="Z44" s="189">
        <v>260</v>
      </c>
      <c r="AA44" s="148">
        <f t="shared" si="2"/>
        <v>-15</v>
      </c>
    </row>
    <row r="45" ht="45.65" customHeight="1" spans="1:27" x14ac:dyDescent="0.25">
      <c r="A45" s="121">
        <v>39</v>
      </c>
      <c r="B45" s="192" t="s">
        <v>275</v>
      </c>
      <c r="C45" s="190" t="s">
        <v>175</v>
      </c>
      <c r="D45" s="191" t="s">
        <v>97</v>
      </c>
      <c r="E45" s="191" t="s">
        <v>98</v>
      </c>
      <c r="F45" s="190" t="s">
        <v>59</v>
      </c>
      <c r="G45" s="192">
        <v>120</v>
      </c>
      <c r="H45" s="193">
        <v>0</v>
      </c>
      <c r="I45" s="193">
        <v>0</v>
      </c>
      <c r="J45" s="150">
        <f t="shared" si="0"/>
        <v>0</v>
      </c>
      <c r="K45" s="150">
        <v>0</v>
      </c>
      <c r="L45" s="150">
        <v>0</v>
      </c>
      <c r="M45" s="150">
        <v>0</v>
      </c>
      <c r="N45" s="150">
        <v>0</v>
      </c>
      <c r="O45" s="150">
        <f t="shared" si="1"/>
        <v>0</v>
      </c>
      <c r="P45" s="150">
        <v>0</v>
      </c>
      <c r="Q45" s="150">
        <v>0</v>
      </c>
      <c r="R45" s="150">
        <v>0</v>
      </c>
      <c r="S45" s="150">
        <v>0</v>
      </c>
      <c r="T45" s="194">
        <f t="shared" si="3"/>
        <v>0</v>
      </c>
      <c r="U45" s="132"/>
      <c r="V45" t="s">
        <v>205</v>
      </c>
      <c r="W45" s="132"/>
      <c r="X45" s="132"/>
      <c r="Z45" s="189">
        <v>76.92</v>
      </c>
      <c r="AA45" s="148">
        <f t="shared" si="2"/>
        <v>-76.92</v>
      </c>
    </row>
    <row r="46" ht="45.65" customHeight="1" spans="1:27" x14ac:dyDescent="0.25">
      <c r="A46" s="121">
        <v>40</v>
      </c>
      <c r="B46" s="129" t="s">
        <v>276</v>
      </c>
      <c r="C46" s="130" t="s">
        <v>248</v>
      </c>
      <c r="D46" s="124" t="s">
        <v>97</v>
      </c>
      <c r="E46" s="124" t="s">
        <v>98</v>
      </c>
      <c r="F46" s="130"/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80</v>
      </c>
      <c r="U46" s="132"/>
      <c r="W46" s="132"/>
      <c r="X46" s="132"/>
      <c r="Z46" s="189">
        <v>120</v>
      </c>
      <c r="AA46" s="148">
        <f t="shared" si="2"/>
        <v>-40</v>
      </c>
    </row>
    <row r="47" ht="45.65" customHeight="1" spans="1:27" x14ac:dyDescent="0.25">
      <c r="A47" s="121">
        <v>41</v>
      </c>
      <c r="B47" s="122" t="s">
        <v>277</v>
      </c>
      <c r="C47" s="123" t="s">
        <v>176</v>
      </c>
      <c r="D47" s="124" t="s">
        <v>177</v>
      </c>
      <c r="E47" s="124" t="s">
        <v>98</v>
      </c>
      <c r="F47" s="123" t="s">
        <v>178</v>
      </c>
      <c r="G47" s="122">
        <v>120</v>
      </c>
      <c r="H47" s="125">
        <v>26</v>
      </c>
      <c r="I47" s="125">
        <v>0</v>
      </c>
      <c r="J47" s="126">
        <f t="shared" si="0"/>
        <v>119.99999999999999</v>
      </c>
      <c r="K47" s="126">
        <v>0</v>
      </c>
      <c r="L47" s="126">
        <v>70</v>
      </c>
      <c r="M47" s="126">
        <v>0</v>
      </c>
      <c r="N47" s="126">
        <v>0</v>
      </c>
      <c r="O47" s="126">
        <f t="shared" si="1"/>
        <v>190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3"/>
        <v>190</v>
      </c>
      <c r="U47" s="132"/>
      <c r="V47" t="s">
        <v>205</v>
      </c>
      <c r="W47" s="132"/>
      <c r="X47" s="134"/>
      <c r="Z47" s="189">
        <v>80</v>
      </c>
      <c r="AA47" s="148">
        <f t="shared" si="2"/>
        <v>110</v>
      </c>
    </row>
    <row r="48" ht="45.65" customHeight="1" spans="1:27" x14ac:dyDescent="0.25">
      <c r="A48" s="121">
        <v>42</v>
      </c>
      <c r="B48" s="122" t="s">
        <v>278</v>
      </c>
      <c r="C48" s="123" t="s">
        <v>249</v>
      </c>
      <c r="D48" s="124" t="s">
        <v>177</v>
      </c>
      <c r="E48" s="124" t="s">
        <v>98</v>
      </c>
      <c r="F48" s="123" t="s">
        <v>180</v>
      </c>
      <c r="G48" s="122">
        <v>80</v>
      </c>
      <c r="H48" s="125">
        <v>26</v>
      </c>
      <c r="I48" s="125">
        <v>0</v>
      </c>
      <c r="J48" s="126">
        <f t="shared" si="0"/>
        <v>80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80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3"/>
        <v>80</v>
      </c>
      <c r="U48" s="132"/>
      <c r="V48" t="s">
        <v>205</v>
      </c>
      <c r="W48" s="132"/>
      <c r="X48" s="134"/>
      <c r="Z48" s="189">
        <v>240</v>
      </c>
      <c r="AA48" s="148">
        <f t="shared" si="2"/>
        <v>-160</v>
      </c>
    </row>
    <row r="49" ht="45.65" customHeight="1" spans="1:27" x14ac:dyDescent="0.25">
      <c r="A49" s="121">
        <v>43</v>
      </c>
      <c r="B49" s="122" t="s">
        <v>279</v>
      </c>
      <c r="C49" s="123" t="s">
        <v>181</v>
      </c>
      <c r="D49" s="124" t="s">
        <v>177</v>
      </c>
      <c r="E49" s="124" t="s">
        <v>98</v>
      </c>
      <c r="F49" s="123" t="s">
        <v>178</v>
      </c>
      <c r="G49" s="122">
        <v>240</v>
      </c>
      <c r="H49" s="125">
        <v>26</v>
      </c>
      <c r="I49" s="125">
        <v>0</v>
      </c>
      <c r="J49" s="126">
        <f t="shared" si="0"/>
        <v>239.99999999999997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239.99999999999997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239.99999999999997</v>
      </c>
      <c r="U49" s="132"/>
      <c r="V49" t="s">
        <v>205</v>
      </c>
      <c r="W49" s="132"/>
      <c r="X49" s="134"/>
      <c r="Z49" s="189">
        <v>120</v>
      </c>
      <c r="AA49" s="148">
        <f t="shared" si="2"/>
        <v>119.99999999999997</v>
      </c>
    </row>
    <row r="50" ht="45.65" customHeight="1" spans="1:27" x14ac:dyDescent="0.25">
      <c r="A50" s="121">
        <v>44</v>
      </c>
      <c r="B50" s="122" t="s">
        <v>280</v>
      </c>
      <c r="C50" s="123" t="s">
        <v>192</v>
      </c>
      <c r="D50" s="124" t="s">
        <v>177</v>
      </c>
      <c r="E50" s="124" t="s">
        <v>98</v>
      </c>
      <c r="F50" s="123" t="s">
        <v>178</v>
      </c>
      <c r="G50" s="122">
        <v>120</v>
      </c>
      <c r="H50" s="125">
        <v>26</v>
      </c>
      <c r="I50" s="125">
        <v>0</v>
      </c>
      <c r="J50" s="126">
        <f t="shared" si="0"/>
        <v>119.99999999999999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119.99999999999999</v>
      </c>
      <c r="P50" s="126">
        <v>0</v>
      </c>
      <c r="Q50" s="126">
        <v>1.73</v>
      </c>
      <c r="R50" s="126">
        <v>0</v>
      </c>
      <c r="S50" s="126">
        <v>0</v>
      </c>
      <c r="T50" s="127">
        <f t="shared" si="3"/>
        <v>118.26999999999998</v>
      </c>
      <c r="U50" s="132"/>
      <c r="V50" t="s">
        <v>205</v>
      </c>
      <c r="W50" s="132"/>
      <c r="X50" s="134"/>
      <c r="Z50" s="189">
        <v>100</v>
      </c>
      <c r="AA50" s="148">
        <f t="shared" si="2"/>
        <v>18.269999999999982</v>
      </c>
    </row>
    <row r="51" ht="45.65" customHeight="1" spans="1:27" x14ac:dyDescent="0.25">
      <c r="A51" s="121">
        <v>45</v>
      </c>
      <c r="B51" s="122" t="s">
        <v>281</v>
      </c>
      <c r="C51" s="171" t="s">
        <v>193</v>
      </c>
      <c r="D51" s="172" t="s">
        <v>177</v>
      </c>
      <c r="E51" s="124" t="s">
        <v>98</v>
      </c>
      <c r="F51" s="171" t="s">
        <v>194</v>
      </c>
      <c r="G51" s="170">
        <v>100</v>
      </c>
      <c r="H51" s="173">
        <v>26</v>
      </c>
      <c r="I51" s="173">
        <v>0</v>
      </c>
      <c r="J51" s="174">
        <f t="shared" si="0"/>
        <v>100</v>
      </c>
      <c r="K51" s="174">
        <v>0</v>
      </c>
      <c r="L51" s="174">
        <v>0</v>
      </c>
      <c r="M51" s="174">
        <v>0</v>
      </c>
      <c r="N51" s="174">
        <v>0</v>
      </c>
      <c r="O51" s="174">
        <f t="shared" si="1"/>
        <v>100</v>
      </c>
      <c r="P51" s="174">
        <v>0</v>
      </c>
      <c r="Q51" s="174">
        <v>0</v>
      </c>
      <c r="R51" s="174">
        <v>0</v>
      </c>
      <c r="S51" s="174">
        <v>0</v>
      </c>
      <c r="T51" s="175">
        <f t="shared" si="3"/>
        <v>100</v>
      </c>
      <c r="U51" s="132"/>
      <c r="V51" t="s">
        <v>205</v>
      </c>
      <c r="W51" s="132"/>
      <c r="X51" s="134"/>
      <c r="Z51" s="189">
        <v>250</v>
      </c>
      <c r="AA51" s="148">
        <f t="shared" si="2"/>
        <v>-150</v>
      </c>
    </row>
    <row r="52" ht="45.65" customHeight="1" spans="1:27" x14ac:dyDescent="0.25">
      <c r="A52" s="121">
        <v>46</v>
      </c>
      <c r="B52" s="122" t="s">
        <v>282</v>
      </c>
      <c r="C52" s="178" t="s">
        <v>195</v>
      </c>
      <c r="D52" s="179" t="s">
        <v>109</v>
      </c>
      <c r="E52" s="124" t="s">
        <v>98</v>
      </c>
      <c r="F52" s="178" t="s">
        <v>196</v>
      </c>
      <c r="G52" s="177">
        <v>250</v>
      </c>
      <c r="H52" s="180">
        <v>26</v>
      </c>
      <c r="I52" s="180">
        <v>0</v>
      </c>
      <c r="J52" s="181">
        <f t="shared" si="0"/>
        <v>250</v>
      </c>
      <c r="K52" s="181">
        <v>0</v>
      </c>
      <c r="L52" s="181">
        <v>0</v>
      </c>
      <c r="M52" s="181">
        <v>0</v>
      </c>
      <c r="N52" s="181">
        <v>0</v>
      </c>
      <c r="O52" s="181">
        <f t="shared" si="1"/>
        <v>250</v>
      </c>
      <c r="P52" s="181">
        <v>0</v>
      </c>
      <c r="Q52" s="181">
        <v>0</v>
      </c>
      <c r="R52" s="181">
        <v>0</v>
      </c>
      <c r="S52" s="181">
        <v>0</v>
      </c>
      <c r="T52" s="182">
        <f t="shared" si="3"/>
        <v>250</v>
      </c>
      <c r="U52" s="132"/>
      <c r="V52" t="s">
        <v>205</v>
      </c>
      <c r="W52" s="132"/>
      <c r="X52" s="134"/>
      <c r="Z52" s="189">
        <v>120</v>
      </c>
      <c r="AA52" s="148">
        <f t="shared" si="2"/>
        <v>130</v>
      </c>
    </row>
    <row r="53" ht="45.65" customHeight="1" spans="1:27" x14ac:dyDescent="0.25">
      <c r="A53" s="121">
        <v>47</v>
      </c>
      <c r="B53" s="122" t="s">
        <v>283</v>
      </c>
      <c r="C53" s="155" t="s">
        <v>197</v>
      </c>
      <c r="D53" s="154" t="s">
        <v>177</v>
      </c>
      <c r="E53" s="124" t="s">
        <v>98</v>
      </c>
      <c r="F53" s="155" t="s">
        <v>198</v>
      </c>
      <c r="G53" s="157">
        <v>100</v>
      </c>
      <c r="H53" s="125">
        <v>26</v>
      </c>
      <c r="I53" s="125">
        <v>0</v>
      </c>
      <c r="J53" s="126">
        <f t="shared" si="0"/>
        <v>100</v>
      </c>
      <c r="K53" s="126">
        <v>0</v>
      </c>
      <c r="L53" s="126">
        <v>10</v>
      </c>
      <c r="M53" s="126">
        <v>0</v>
      </c>
      <c r="N53" s="126">
        <v>0</v>
      </c>
      <c r="O53" s="126">
        <f t="shared" si="1"/>
        <v>110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3"/>
        <v>110</v>
      </c>
      <c r="U53" s="132"/>
      <c r="V53" t="s">
        <v>205</v>
      </c>
      <c r="W53" s="132"/>
      <c r="X53" s="134"/>
      <c r="Z53" s="189">
        <v>150</v>
      </c>
      <c r="AA53" s="148">
        <f t="shared" si="2"/>
        <v>-40</v>
      </c>
    </row>
    <row r="54" ht="45.65" customHeight="1" spans="1:27" x14ac:dyDescent="0.25">
      <c r="A54" s="121">
        <v>48</v>
      </c>
      <c r="B54" s="122" t="s">
        <v>284</v>
      </c>
      <c r="C54" s="155" t="s">
        <v>199</v>
      </c>
      <c r="D54" s="154" t="s">
        <v>177</v>
      </c>
      <c r="E54" s="124" t="s">
        <v>98</v>
      </c>
      <c r="F54" s="155" t="s">
        <v>200</v>
      </c>
      <c r="G54" s="157">
        <v>150</v>
      </c>
      <c r="H54" s="125">
        <v>26</v>
      </c>
      <c r="I54" s="125">
        <v>0</v>
      </c>
      <c r="J54" s="126">
        <f t="shared" si="0"/>
        <v>150</v>
      </c>
      <c r="K54" s="126">
        <v>0</v>
      </c>
      <c r="L54" s="126">
        <v>20</v>
      </c>
      <c r="M54" s="126">
        <v>0</v>
      </c>
      <c r="N54" s="126">
        <v>0</v>
      </c>
      <c r="O54" s="126">
        <f t="shared" si="1"/>
        <v>170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si="3"/>
        <v>170</v>
      </c>
      <c r="U54" s="132"/>
      <c r="V54" t="s">
        <v>205</v>
      </c>
      <c r="W54" s="132"/>
      <c r="X54" s="134"/>
      <c r="Z54" s="189">
        <v>100</v>
      </c>
      <c r="AA54" s="148">
        <f t="shared" si="2"/>
        <v>70</v>
      </c>
    </row>
    <row r="55" ht="45.65" customHeight="1" spans="1:27" x14ac:dyDescent="0.25">
      <c r="A55" s="121">
        <v>49</v>
      </c>
      <c r="B55" s="122" t="s">
        <v>285</v>
      </c>
      <c r="C55" s="155" t="s">
        <v>250</v>
      </c>
      <c r="D55" s="154" t="s">
        <v>177</v>
      </c>
      <c r="E55" s="154" t="s">
        <v>98</v>
      </c>
      <c r="F55" s="155" t="s">
        <v>198</v>
      </c>
      <c r="G55" s="157">
        <v>100</v>
      </c>
      <c r="H55" s="125">
        <v>26</v>
      </c>
      <c r="I55" s="125">
        <v>0</v>
      </c>
      <c r="J55" s="126">
        <f t="shared" si="0"/>
        <v>100</v>
      </c>
      <c r="K55" s="126">
        <v>0</v>
      </c>
      <c r="L55" s="126">
        <v>20</v>
      </c>
      <c r="M55" s="126">
        <v>0</v>
      </c>
      <c r="N55" s="126">
        <v>0</v>
      </c>
      <c r="O55" s="126">
        <f t="shared" si="1"/>
        <v>120</v>
      </c>
      <c r="P55" s="126">
        <v>0</v>
      </c>
      <c r="Q55" s="126">
        <v>0</v>
      </c>
      <c r="R55" s="126">
        <v>0</v>
      </c>
      <c r="S55" s="126">
        <v>0</v>
      </c>
      <c r="T55" s="127">
        <f t="shared" si="3"/>
        <v>120</v>
      </c>
      <c r="U55" s="132"/>
      <c r="V55" t="s">
        <v>205</v>
      </c>
      <c r="W55" s="132"/>
      <c r="X55" s="134"/>
      <c r="Z55" s="189">
        <v>238.85</v>
      </c>
      <c r="AA55" s="148">
        <f t="shared" si="2"/>
        <v>-118.85</v>
      </c>
    </row>
    <row r="56" ht="45.65" customHeight="1" spans="1:27" x14ac:dyDescent="0.25">
      <c r="A56" s="121">
        <v>50</v>
      </c>
      <c r="B56" s="122" t="s">
        <v>286</v>
      </c>
      <c r="C56" s="155" t="s">
        <v>251</v>
      </c>
      <c r="D56" s="154" t="s">
        <v>97</v>
      </c>
      <c r="E56" s="154" t="s">
        <v>98</v>
      </c>
      <c r="F56" s="155"/>
      <c r="G56" s="157">
        <v>270</v>
      </c>
      <c r="H56" s="125">
        <v>26</v>
      </c>
      <c r="I56" s="125">
        <v>0</v>
      </c>
      <c r="J56" s="126">
        <f>G56/26*H56</f>
        <v>270</v>
      </c>
      <c r="K56" s="126">
        <v>0</v>
      </c>
      <c r="L56" s="126">
        <v>0</v>
      </c>
      <c r="M56" s="126">
        <v>0</v>
      </c>
      <c r="N56" s="126">
        <v>0</v>
      </c>
      <c r="O56" s="126">
        <f>J56+K56+L56+M56+N56</f>
        <v>270</v>
      </c>
      <c r="P56" s="126">
        <v>0</v>
      </c>
      <c r="Q56" s="126">
        <v>0</v>
      </c>
      <c r="R56" s="126">
        <v>0</v>
      </c>
      <c r="S56" s="126">
        <v>0</v>
      </c>
      <c r="T56" s="127">
        <f>O56-P56-Q56-R56-S56</f>
        <v>270</v>
      </c>
      <c r="U56" s="132"/>
      <c r="V56" t="s">
        <v>205</v>
      </c>
      <c r="W56" s="132"/>
      <c r="X56" s="134"/>
      <c r="Z56" s="189">
        <v>500</v>
      </c>
      <c r="AA56" s="148">
        <f t="shared" si="2"/>
        <v>-230</v>
      </c>
    </row>
    <row r="57" ht="45.65" customHeight="1" spans="1:27" x14ac:dyDescent="0.25">
      <c r="A57" s="121">
        <v>51</v>
      </c>
      <c r="B57" s="122" t="s">
        <v>252</v>
      </c>
      <c r="C57" s="155" t="s">
        <v>253</v>
      </c>
      <c r="D57" s="154" t="s">
        <v>100</v>
      </c>
      <c r="E57" s="154" t="s">
        <v>98</v>
      </c>
      <c r="F57" s="155"/>
      <c r="G57" s="157">
        <v>500</v>
      </c>
      <c r="H57" s="125">
        <v>26</v>
      </c>
      <c r="I57" s="125">
        <v>0</v>
      </c>
      <c r="J57" s="126">
        <f t="shared" ref="J57:J58" si="7">G57/26*H57</f>
        <v>500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ref="O57:O58" si="8">J57+K57+L57+M57+N57</f>
        <v>500</v>
      </c>
      <c r="P57" s="126">
        <v>0</v>
      </c>
      <c r="Q57" s="126">
        <v>0</v>
      </c>
      <c r="R57" s="126">
        <v>0</v>
      </c>
      <c r="S57" s="126">
        <v>0</v>
      </c>
      <c r="T57" s="127">
        <f>O57-P57-Q57-R57-S57</f>
        <v>500</v>
      </c>
      <c r="U57" s="132"/>
      <c r="W57" s="132"/>
      <c r="X57" s="134"/>
      <c r="Y57" t="s">
        <v>243</v>
      </c>
      <c r="Z57" s="189">
        <v>350</v>
      </c>
      <c r="AA57" s="148">
        <f t="shared" si="2"/>
        <v>150</v>
      </c>
    </row>
    <row r="58" ht="45.65" customHeight="1" spans="1:27" x14ac:dyDescent="0.25">
      <c r="A58" s="121">
        <v>52</v>
      </c>
      <c r="B58" s="122" t="s">
        <v>287</v>
      </c>
      <c r="C58" s="155" t="s">
        <v>254</v>
      </c>
      <c r="D58" s="154" t="s">
        <v>100</v>
      </c>
      <c r="E58" s="154" t="s">
        <v>98</v>
      </c>
      <c r="F58" s="155"/>
      <c r="G58" s="157">
        <v>350</v>
      </c>
      <c r="H58" s="125">
        <v>26</v>
      </c>
      <c r="I58" s="125">
        <v>0</v>
      </c>
      <c r="J58" s="126">
        <f t="shared" si="7"/>
        <v>350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8"/>
        <v>350</v>
      </c>
      <c r="P58" s="126">
        <v>0</v>
      </c>
      <c r="Q58" s="126">
        <v>0</v>
      </c>
      <c r="R58" s="126">
        <v>0</v>
      </c>
      <c r="S58" s="126">
        <v>0</v>
      </c>
      <c r="T58" s="127">
        <f t="shared" si="3"/>
        <v>350</v>
      </c>
      <c r="U58" s="132"/>
      <c r="W58" s="132"/>
      <c r="X58" s="134"/>
      <c r="Z58" s="189">
        <v>600</v>
      </c>
      <c r="AA58" s="148">
        <f t="shared" si="2"/>
        <v>-250</v>
      </c>
    </row>
    <row r="59" ht="45.65" customHeight="1" spans="1:27" x14ac:dyDescent="0.25">
      <c r="A59" s="121">
        <v>53</v>
      </c>
      <c r="B59" s="122" t="s">
        <v>288</v>
      </c>
      <c r="C59" s="155" t="s">
        <v>289</v>
      </c>
      <c r="D59" s="154" t="s">
        <v>100</v>
      </c>
      <c r="E59" s="154" t="s">
        <v>98</v>
      </c>
      <c r="F59" s="155"/>
      <c r="G59" s="157">
        <v>80</v>
      </c>
      <c r="H59" s="125">
        <v>26</v>
      </c>
      <c r="I59" s="125">
        <v>0</v>
      </c>
      <c r="J59" s="126">
        <f t="shared" ref="J59:J60" si="9">G59/26*H59</f>
        <v>80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ref="O59:O60" si="10">J59+K59+L59+M59+N59</f>
        <v>80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ref="T59:T60" si="11">O59-P59-Q59-R59-S59</f>
        <v>80</v>
      </c>
      <c r="U59" s="132"/>
      <c r="W59" s="132"/>
      <c r="X59" s="134"/>
      <c r="Z59" s="189"/>
      <c r="AA59" s="148"/>
    </row>
    <row r="60" ht="45.65" customHeight="1" spans="1:27" x14ac:dyDescent="0.25">
      <c r="A60" s="121">
        <v>54</v>
      </c>
      <c r="B60" s="122" t="s">
        <v>290</v>
      </c>
      <c r="C60" s="155" t="s">
        <v>291</v>
      </c>
      <c r="D60" s="154" t="s">
        <v>100</v>
      </c>
      <c r="E60" s="154" t="s">
        <v>98</v>
      </c>
      <c r="F60" s="155"/>
      <c r="G60" s="157">
        <v>130</v>
      </c>
      <c r="H60" s="125">
        <v>26</v>
      </c>
      <c r="I60" s="125">
        <v>0</v>
      </c>
      <c r="J60" s="126">
        <f t="shared" si="9"/>
        <v>130</v>
      </c>
      <c r="K60" s="126">
        <v>0</v>
      </c>
      <c r="L60" s="126">
        <v>75</v>
      </c>
      <c r="M60" s="126">
        <v>0</v>
      </c>
      <c r="N60" s="126">
        <v>0</v>
      </c>
      <c r="O60" s="126">
        <f t="shared" si="10"/>
        <v>205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11"/>
        <v>205</v>
      </c>
      <c r="U60" s="132"/>
      <c r="W60" s="132"/>
      <c r="X60" s="134"/>
      <c r="Z60" s="189"/>
      <c r="AA60" s="148"/>
    </row>
    <row r="61" ht="45.65" customHeight="1" spans="1:27" x14ac:dyDescent="0.25">
      <c r="A61" s="121">
        <v>53</v>
      </c>
      <c r="B61" s="122" t="s">
        <v>237</v>
      </c>
      <c r="C61" s="155" t="s">
        <v>201</v>
      </c>
      <c r="D61" s="154"/>
      <c r="E61" s="154" t="s">
        <v>98</v>
      </c>
      <c r="F61" s="155"/>
      <c r="G61" s="156">
        <v>600</v>
      </c>
      <c r="H61" s="125">
        <v>26</v>
      </c>
      <c r="I61" s="125">
        <v>0</v>
      </c>
      <c r="J61" s="126">
        <f t="shared" si="0"/>
        <v>600</v>
      </c>
      <c r="K61" s="126">
        <v>0</v>
      </c>
      <c r="L61" s="126">
        <v>0</v>
      </c>
      <c r="M61" s="126">
        <v>0</v>
      </c>
      <c r="N61" s="126">
        <v>0</v>
      </c>
      <c r="O61" s="126">
        <f t="shared" si="1"/>
        <v>600</v>
      </c>
      <c r="P61" s="126">
        <v>0</v>
      </c>
      <c r="Q61" s="151">
        <v>0</v>
      </c>
      <c r="R61" s="126">
        <v>0</v>
      </c>
      <c r="S61" s="152">
        <v>176.3</v>
      </c>
      <c r="T61" s="127">
        <f t="shared" si="3"/>
        <v>423.7</v>
      </c>
      <c r="U61" s="132" t="s">
        <v>57</v>
      </c>
      <c r="V61" t="s">
        <v>207</v>
      </c>
      <c r="W61" s="132">
        <v>600</v>
      </c>
      <c r="X61" s="134">
        <v>-176.3</v>
      </c>
      <c r="Y61" t="s">
        <v>243</v>
      </c>
      <c r="Z61" s="189">
        <v>422.65</v>
      </c>
      <c r="AA61" s="148">
        <f t="shared" si="2"/>
        <v>1.0500000000000114</v>
      </c>
    </row>
    <row r="62" ht="45.65" customHeight="1" spans="1:25" x14ac:dyDescent="0.25">
      <c r="A62" s="121">
        <v>54</v>
      </c>
      <c r="B62" s="122" t="s">
        <v>238</v>
      </c>
      <c r="C62" s="155" t="s">
        <v>202</v>
      </c>
      <c r="D62" s="154"/>
      <c r="E62" s="154" t="s">
        <v>156</v>
      </c>
      <c r="F62" s="155"/>
      <c r="G62" s="156">
        <v>422.6</v>
      </c>
      <c r="H62" s="125">
        <v>26</v>
      </c>
      <c r="I62" s="125">
        <v>0</v>
      </c>
      <c r="J62" s="126">
        <f t="shared" si="0"/>
        <v>422.6</v>
      </c>
      <c r="K62" s="126">
        <v>0</v>
      </c>
      <c r="L62" s="126">
        <v>0</v>
      </c>
      <c r="M62" s="126">
        <v>0</v>
      </c>
      <c r="N62" s="126">
        <v>0</v>
      </c>
      <c r="O62" s="126">
        <f t="shared" si="1"/>
        <v>422.6</v>
      </c>
      <c r="P62" s="126">
        <v>0</v>
      </c>
      <c r="Q62" s="126">
        <v>0</v>
      </c>
      <c r="R62" s="126">
        <v>0</v>
      </c>
      <c r="S62" s="126">
        <v>0</v>
      </c>
      <c r="T62" s="127">
        <f t="shared" si="3"/>
        <v>422.6</v>
      </c>
      <c r="U62" s="132"/>
      <c r="V62" t="s">
        <v>207</v>
      </c>
      <c r="W62" s="132"/>
      <c r="X62" s="134"/>
      <c r="Y62" t="s">
        <v>243</v>
      </c>
    </row>
    <row r="63" ht="45.65" customHeight="1" spans="1:25" x14ac:dyDescent="0.25">
      <c r="A63" s="121">
        <v>55</v>
      </c>
      <c r="B63" s="122" t="s">
        <v>239</v>
      </c>
      <c r="C63" s="155" t="s">
        <v>170</v>
      </c>
      <c r="D63" s="154"/>
      <c r="E63" s="154" t="s">
        <v>171</v>
      </c>
      <c r="F63" s="155"/>
      <c r="G63" s="157">
        <v>300</v>
      </c>
      <c r="H63" s="125">
        <v>26</v>
      </c>
      <c r="I63" s="125">
        <v>0</v>
      </c>
      <c r="J63" s="126">
        <f t="shared" si="0"/>
        <v>300</v>
      </c>
      <c r="K63" s="126">
        <v>0</v>
      </c>
      <c r="L63" s="126">
        <v>0</v>
      </c>
      <c r="M63" s="126">
        <v>0</v>
      </c>
      <c r="N63" s="126">
        <v>0</v>
      </c>
      <c r="O63" s="126">
        <f t="shared" si="1"/>
        <v>300</v>
      </c>
      <c r="P63" s="126">
        <v>0</v>
      </c>
      <c r="Q63" s="151">
        <v>0</v>
      </c>
      <c r="R63" s="126">
        <v>0</v>
      </c>
      <c r="S63" s="152">
        <v>300</v>
      </c>
      <c r="T63" s="127">
        <f t="shared" si="3"/>
        <v>0</v>
      </c>
      <c r="U63" s="132" t="s">
        <v>57</v>
      </c>
      <c r="V63" t="s">
        <v>207</v>
      </c>
      <c r="W63" s="132">
        <v>300</v>
      </c>
      <c r="X63" s="134">
        <v>-300</v>
      </c>
      <c r="Y63" t="s">
        <v>243</v>
      </c>
    </row>
    <row r="64" ht="45.65" customHeight="1" spans="1:25" x14ac:dyDescent="0.25">
      <c r="A64" s="121">
        <v>56</v>
      </c>
      <c r="B64" s="122" t="s">
        <v>240</v>
      </c>
      <c r="C64" s="155" t="s">
        <v>172</v>
      </c>
      <c r="D64" s="154"/>
      <c r="E64" s="154" t="s">
        <v>171</v>
      </c>
      <c r="F64" s="155"/>
      <c r="G64" s="157">
        <v>600</v>
      </c>
      <c r="H64" s="125">
        <v>26</v>
      </c>
      <c r="I64" s="125">
        <v>0</v>
      </c>
      <c r="J64" s="126">
        <f t="shared" si="0"/>
        <v>600</v>
      </c>
      <c r="K64" s="126">
        <v>0</v>
      </c>
      <c r="L64" s="126">
        <v>0</v>
      </c>
      <c r="M64" s="126">
        <v>0</v>
      </c>
      <c r="N64" s="126">
        <v>0</v>
      </c>
      <c r="O64" s="126">
        <f t="shared" si="1"/>
        <v>600</v>
      </c>
      <c r="P64" s="126">
        <v>0</v>
      </c>
      <c r="Q64" s="151">
        <v>0</v>
      </c>
      <c r="R64" s="126">
        <v>0</v>
      </c>
      <c r="S64" s="152">
        <v>600</v>
      </c>
      <c r="T64" s="127">
        <f t="shared" si="3"/>
        <v>0</v>
      </c>
      <c r="U64" s="131" t="s">
        <v>57</v>
      </c>
      <c r="V64" t="s">
        <v>207</v>
      </c>
      <c r="W64" s="132">
        <v>600</v>
      </c>
      <c r="X64" s="134">
        <v>-600</v>
      </c>
      <c r="Y64" t="s">
        <v>243</v>
      </c>
    </row>
    <row r="65" ht="45.65" customHeight="1" spans="1:24" x14ac:dyDescent="0.25">
      <c r="A65" s="121">
        <v>57</v>
      </c>
      <c r="B65" s="122"/>
      <c r="C65" s="155"/>
      <c r="D65" s="154"/>
      <c r="E65" s="154"/>
      <c r="F65" s="155"/>
      <c r="G65" s="157"/>
      <c r="H65" s="125">
        <v>26</v>
      </c>
      <c r="I65" s="125">
        <v>0</v>
      </c>
      <c r="J65" s="126">
        <f t="shared" si="0"/>
        <v>0</v>
      </c>
      <c r="K65" s="126">
        <v>0</v>
      </c>
      <c r="L65" s="126">
        <v>0</v>
      </c>
      <c r="M65" s="126">
        <v>0</v>
      </c>
      <c r="N65" s="126">
        <v>0</v>
      </c>
      <c r="O65" s="126">
        <f t="shared" si="1"/>
        <v>0</v>
      </c>
      <c r="P65" s="126">
        <v>0</v>
      </c>
      <c r="Q65" s="126">
        <v>0</v>
      </c>
      <c r="R65" s="126">
        <v>0</v>
      </c>
      <c r="S65" s="126">
        <v>0</v>
      </c>
      <c r="T65" s="127">
        <f t="shared" si="3"/>
        <v>0</v>
      </c>
      <c r="U65" s="128"/>
      <c r="W65" s="132"/>
      <c r="X65" s="134"/>
    </row>
    <row r="66" ht="45.65" customHeight="1" spans="1:24" x14ac:dyDescent="0.25">
      <c r="A66" s="121">
        <v>58</v>
      </c>
      <c r="B66" s="122"/>
      <c r="C66" s="155"/>
      <c r="D66" s="154"/>
      <c r="E66" s="154"/>
      <c r="F66" s="155"/>
      <c r="G66" s="157"/>
      <c r="H66" s="125">
        <v>26</v>
      </c>
      <c r="I66" s="125">
        <v>0</v>
      </c>
      <c r="J66" s="126">
        <f t="shared" si="0"/>
        <v>0</v>
      </c>
      <c r="K66" s="126">
        <v>0</v>
      </c>
      <c r="L66" s="126">
        <v>0</v>
      </c>
      <c r="M66" s="126">
        <v>0</v>
      </c>
      <c r="N66" s="126">
        <v>0</v>
      </c>
      <c r="O66" s="126">
        <f t="shared" si="1"/>
        <v>0</v>
      </c>
      <c r="P66" s="126">
        <v>0</v>
      </c>
      <c r="Q66" s="126">
        <v>0</v>
      </c>
      <c r="R66" s="126">
        <v>0</v>
      </c>
      <c r="S66" s="126">
        <v>0</v>
      </c>
      <c r="T66" s="127">
        <f t="shared" si="3"/>
        <v>0</v>
      </c>
      <c r="U66" s="128"/>
      <c r="W66" s="132"/>
      <c r="X66" s="134"/>
    </row>
    <row r="67" ht="45.65" customHeight="1" spans="1:24" x14ac:dyDescent="0.25">
      <c r="A67" s="121">
        <v>59</v>
      </c>
      <c r="B67" s="122"/>
      <c r="C67" s="160"/>
      <c r="D67" s="161"/>
      <c r="E67" s="161"/>
      <c r="F67" s="160"/>
      <c r="G67" s="162"/>
      <c r="H67" s="163">
        <v>26</v>
      </c>
      <c r="I67" s="163">
        <v>0</v>
      </c>
      <c r="J67" s="164">
        <f t="shared" si="0"/>
        <v>0</v>
      </c>
      <c r="K67" s="164">
        <v>0</v>
      </c>
      <c r="L67" s="164">
        <v>0</v>
      </c>
      <c r="M67" s="164">
        <v>0</v>
      </c>
      <c r="N67" s="164">
        <v>0</v>
      </c>
      <c r="O67" s="164">
        <f t="shared" si="1"/>
        <v>0</v>
      </c>
      <c r="P67" s="164">
        <v>0</v>
      </c>
      <c r="Q67" s="164">
        <v>0</v>
      </c>
      <c r="R67" s="164">
        <v>0</v>
      </c>
      <c r="S67" s="164">
        <v>0</v>
      </c>
      <c r="T67" s="165">
        <f t="shared" si="3"/>
        <v>0</v>
      </c>
      <c r="U67" s="166"/>
      <c r="W67" s="132"/>
      <c r="X67" s="134"/>
    </row>
    <row r="68" ht="50.15" customHeight="1" spans="1:24" x14ac:dyDescent="0.25">
      <c r="A68" s="184" t="s">
        <v>26</v>
      </c>
      <c r="B68" s="185"/>
      <c r="C68" s="185"/>
      <c r="D68" s="185"/>
      <c r="E68" s="185"/>
      <c r="F68" s="185"/>
      <c r="G68" s="185"/>
      <c r="H68" s="185"/>
      <c r="I68" s="186"/>
      <c r="J68" s="146">
        <f t="shared" ref="J68:T68" si="12">SUBTOTAL(9,J6:J67)</f>
        <v>14723.753846153846</v>
      </c>
      <c r="K68" s="146">
        <f t="shared" si="12"/>
        <v>0</v>
      </c>
      <c r="L68" s="146">
        <f t="shared" si="12"/>
        <v>405</v>
      </c>
      <c r="M68" s="146">
        <f t="shared" si="12"/>
        <v>0</v>
      </c>
      <c r="N68" s="146">
        <f t="shared" si="12"/>
        <v>300</v>
      </c>
      <c r="O68" s="146">
        <f t="shared" si="12"/>
        <v>15428.753846153846</v>
      </c>
      <c r="P68" s="146">
        <f t="shared" si="12"/>
        <v>0</v>
      </c>
      <c r="Q68" s="146">
        <f t="shared" si="12"/>
        <v>37.919999999999995</v>
      </c>
      <c r="R68" s="146">
        <f t="shared" si="12"/>
        <v>150</v>
      </c>
      <c r="S68" s="167">
        <f t="shared" si="12"/>
        <v>1276.3</v>
      </c>
      <c r="T68" s="147">
        <f t="shared" si="12"/>
        <v>13964.533846153847</v>
      </c>
      <c r="U68" s="146"/>
      <c r="W68" s="146">
        <f t="shared" ref="W68:X68" si="13">SUBTOTAL(9,W6:W67)</f>
        <v>2100</v>
      </c>
      <c r="X68" s="146">
        <f t="shared" si="13"/>
        <v>-1276.3</v>
      </c>
    </row>
    <row r="72" spans="15:15" x14ac:dyDescent="0.25">
      <c r="O72" s="148"/>
    </row>
  </sheetData>
  <autoFilter ref="A5:X67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7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6"/>
  <sheetViews>
    <sheetView workbookViewId="0" zoomScale="70" zoomScaleNormal="70">
      <pane ySplit="5" topLeftCell="A6" activePane="bottomLeft" state="frozen"/>
      <selection pane="bottomLeft" activeCell="T6" sqref="T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36.3046875" customWidth="1"/>
  </cols>
  <sheetData>
    <row r="1" ht="51.65" customHeight="1" spans="1:21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ht="53.15" customHeight="1" spans="1:21" x14ac:dyDescent="0.25">
      <c r="A2" s="18" t="s">
        <v>292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ht="45.65" customHeight="1" spans="1:21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ht="30" customHeight="1" spans="1:21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</row>
    <row r="5" ht="88.5" customHeight="1" spans="1:21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</row>
    <row r="6" ht="45.65" customHeight="1" spans="1:21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1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</row>
    <row r="7" ht="45.65" customHeight="1" spans="1:21" x14ac:dyDescent="0.25">
      <c r="A7" s="121">
        <v>2</v>
      </c>
      <c r="B7" s="122" t="s">
        <v>206</v>
      </c>
      <c r="C7" s="130" t="s">
        <v>182</v>
      </c>
      <c r="D7" s="124" t="s">
        <v>97</v>
      </c>
      <c r="E7" s="124" t="s">
        <v>98</v>
      </c>
      <c r="F7" s="130" t="s">
        <v>102</v>
      </c>
      <c r="G7" s="129">
        <v>410</v>
      </c>
      <c r="H7" s="125">
        <v>26</v>
      </c>
      <c r="I7" s="125">
        <v>0</v>
      </c>
      <c r="J7" s="126">
        <v>800</v>
      </c>
      <c r="K7" s="126">
        <v>0</v>
      </c>
      <c r="L7" s="126">
        <v>0</v>
      </c>
      <c r="M7" s="126">
        <v>0</v>
      </c>
      <c r="N7" s="126">
        <v>0</v>
      </c>
      <c r="O7" s="126">
        <f>J7+K7+L7+M7+N7</f>
        <v>800</v>
      </c>
      <c r="P7" s="126">
        <v>0</v>
      </c>
      <c r="Q7" s="126">
        <v>0</v>
      </c>
      <c r="R7" s="126">
        <v>0</v>
      </c>
      <c r="S7" s="152">
        <v>390</v>
      </c>
      <c r="T7" s="127">
        <f>O7-P7-Q7-R7-S7</f>
        <v>410</v>
      </c>
      <c r="U7" s="131" t="s">
        <v>57</v>
      </c>
    </row>
    <row r="8" ht="45.65" customHeight="1" spans="1:21" x14ac:dyDescent="0.25">
      <c r="A8" s="121">
        <v>3</v>
      </c>
      <c r="B8" s="122" t="s">
        <v>257</v>
      </c>
      <c r="C8" s="123" t="s">
        <v>242</v>
      </c>
      <c r="D8" s="124" t="s">
        <v>100</v>
      </c>
      <c r="E8" s="124" t="s">
        <v>101</v>
      </c>
      <c r="F8" s="123"/>
      <c r="G8" s="122">
        <v>150</v>
      </c>
      <c r="H8" s="125">
        <v>26</v>
      </c>
      <c r="I8" s="125">
        <v>0</v>
      </c>
      <c r="J8" s="126">
        <f t="shared" si="0"/>
        <v>150</v>
      </c>
      <c r="K8" s="126">
        <v>0</v>
      </c>
      <c r="L8" s="126">
        <v>0</v>
      </c>
      <c r="M8" s="126">
        <v>0</v>
      </c>
      <c r="N8" s="126">
        <v>0</v>
      </c>
      <c r="O8" s="126">
        <f t="shared" ref="O8:O61" si="1">J8+K8+L8+M8+N8</f>
        <v>150</v>
      </c>
      <c r="P8" s="126">
        <v>0</v>
      </c>
      <c r="Q8" s="126">
        <v>0</v>
      </c>
      <c r="R8" s="126">
        <v>0</v>
      </c>
      <c r="S8" s="126">
        <v>0</v>
      </c>
      <c r="T8" s="127">
        <f>O8-P8-Q8-R8-S8</f>
        <v>150</v>
      </c>
      <c r="U8" s="128"/>
    </row>
    <row r="9" ht="45.65" customHeight="1" spans="1:21" x14ac:dyDescent="0.25">
      <c r="A9" s="121">
        <f>A8+1</f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ref="T9:T50" si="2">O9-P9-Q9-R9-S9</f>
        <v>255.00000000000003</v>
      </c>
      <c r="U9" s="132"/>
    </row>
    <row r="10" ht="45.65" customHeight="1" spans="1:21" x14ac:dyDescent="0.25">
      <c r="A10" s="121">
        <f t="shared" ref="A10:A61" si="3">A9+1</f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</row>
    <row r="11" ht="45.65" customHeight="1" spans="1:21" x14ac:dyDescent="0.25">
      <c r="A11" s="121">
        <f t="shared" si="3"/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2"/>
        <v>430.00000000000006</v>
      </c>
      <c r="U11" s="132"/>
    </row>
    <row r="12" ht="45.65" customHeight="1" spans="1:21" x14ac:dyDescent="0.25">
      <c r="A12" s="121">
        <f t="shared" si="3"/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32"/>
    </row>
    <row r="13" ht="45.65" customHeight="1" spans="1:21" x14ac:dyDescent="0.25">
      <c r="A13" s="121">
        <f t="shared" si="3"/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330</v>
      </c>
      <c r="U13" s="132"/>
    </row>
    <row r="14" ht="45.65" customHeight="1" spans="1:21" x14ac:dyDescent="0.25">
      <c r="A14" s="121">
        <f t="shared" si="3"/>
        <v>9</v>
      </c>
      <c r="B14" s="122" t="s">
        <v>210</v>
      </c>
      <c r="C14" s="123" t="s">
        <v>117</v>
      </c>
      <c r="D14" s="124" t="s">
        <v>97</v>
      </c>
      <c r="E14" s="124" t="s">
        <v>98</v>
      </c>
      <c r="F14" s="123" t="s">
        <v>118</v>
      </c>
      <c r="G14" s="122">
        <v>200</v>
      </c>
      <c r="H14" s="125">
        <v>26</v>
      </c>
      <c r="I14" s="125">
        <v>0</v>
      </c>
      <c r="J14" s="126">
        <f t="shared" si="0"/>
        <v>200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200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200</v>
      </c>
      <c r="U14" s="132"/>
    </row>
    <row r="15" ht="45.65" customHeight="1" spans="1:21" x14ac:dyDescent="0.25">
      <c r="A15" s="121">
        <f t="shared" si="3"/>
        <v>10</v>
      </c>
      <c r="B15" s="122" t="s">
        <v>211</v>
      </c>
      <c r="C15" s="123" t="s">
        <v>185</v>
      </c>
      <c r="D15" s="124" t="s">
        <v>97</v>
      </c>
      <c r="E15" s="124" t="s">
        <v>120</v>
      </c>
      <c r="F15" s="123" t="s">
        <v>121</v>
      </c>
      <c r="G15" s="122">
        <v>430</v>
      </c>
      <c r="H15" s="125">
        <v>26</v>
      </c>
      <c r="I15" s="125">
        <v>0</v>
      </c>
      <c r="J15" s="126">
        <f t="shared" si="0"/>
        <v>430.00000000000006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430.00000000000006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430.00000000000006</v>
      </c>
      <c r="U15" s="132"/>
    </row>
    <row r="16" ht="45.65" customHeight="1" spans="1:21" x14ac:dyDescent="0.25">
      <c r="A16" s="121">
        <f t="shared" si="3"/>
        <v>11</v>
      </c>
      <c r="B16" s="122" t="s">
        <v>212</v>
      </c>
      <c r="C16" s="123" t="s">
        <v>213</v>
      </c>
      <c r="D16" s="124" t="s">
        <v>97</v>
      </c>
      <c r="E16" s="124" t="s">
        <v>98</v>
      </c>
      <c r="F16" s="123" t="s">
        <v>123</v>
      </c>
      <c r="G16" s="122">
        <v>450</v>
      </c>
      <c r="H16" s="125">
        <v>26</v>
      </c>
      <c r="I16" s="125">
        <v>0</v>
      </c>
      <c r="J16" s="126">
        <f t="shared" si="0"/>
        <v>450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450</v>
      </c>
      <c r="P16" s="126">
        <v>0</v>
      </c>
      <c r="Q16" s="126">
        <v>0</v>
      </c>
      <c r="R16" s="126">
        <v>50</v>
      </c>
      <c r="S16" s="126">
        <v>0</v>
      </c>
      <c r="T16" s="127">
        <f t="shared" si="2"/>
        <v>400</v>
      </c>
      <c r="U16" s="132"/>
    </row>
    <row r="17" ht="45.65" customHeight="1" spans="1:21" x14ac:dyDescent="0.25">
      <c r="A17" s="121">
        <f t="shared" si="3"/>
        <v>12</v>
      </c>
      <c r="B17" s="122" t="s">
        <v>214</v>
      </c>
      <c r="C17" s="123" t="s">
        <v>186</v>
      </c>
      <c r="D17" s="124" t="s">
        <v>100</v>
      </c>
      <c r="E17" s="124" t="s">
        <v>98</v>
      </c>
      <c r="F17" s="123" t="s">
        <v>125</v>
      </c>
      <c r="G17" s="122">
        <v>300</v>
      </c>
      <c r="H17" s="125">
        <v>26</v>
      </c>
      <c r="I17" s="125">
        <v>0</v>
      </c>
      <c r="J17" s="126">
        <f t="shared" si="0"/>
        <v>300</v>
      </c>
      <c r="K17" s="126">
        <v>0</v>
      </c>
      <c r="L17" s="126">
        <v>0</v>
      </c>
      <c r="M17" s="126">
        <v>0</v>
      </c>
      <c r="N17" s="150">
        <v>300</v>
      </c>
      <c r="O17" s="126">
        <f t="shared" si="1"/>
        <v>600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2"/>
        <v>600</v>
      </c>
      <c r="U17" s="132"/>
    </row>
    <row r="18" ht="45.65" customHeight="1" spans="1:21" x14ac:dyDescent="0.25">
      <c r="A18" s="121">
        <f t="shared" si="3"/>
        <v>13</v>
      </c>
      <c r="B18" s="122" t="s">
        <v>215</v>
      </c>
      <c r="C18" s="123" t="s">
        <v>126</v>
      </c>
      <c r="D18" s="124" t="s">
        <v>116</v>
      </c>
      <c r="E18" s="124" t="s">
        <v>98</v>
      </c>
      <c r="F18" s="123" t="s">
        <v>127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26">
        <v>0</v>
      </c>
      <c r="O18" s="126">
        <f t="shared" si="1"/>
        <v>300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300</v>
      </c>
      <c r="U18" s="132"/>
    </row>
    <row r="19" ht="45.65" customHeight="1" spans="1:21" x14ac:dyDescent="0.25">
      <c r="A19" s="121">
        <f t="shared" si="3"/>
        <v>14</v>
      </c>
      <c r="B19" s="122" t="s">
        <v>216</v>
      </c>
      <c r="C19" s="123" t="s">
        <v>188</v>
      </c>
      <c r="D19" s="124" t="s">
        <v>116</v>
      </c>
      <c r="E19" s="124" t="s">
        <v>98</v>
      </c>
      <c r="F19" s="123"/>
      <c r="G19" s="122">
        <v>250</v>
      </c>
      <c r="H19" s="125">
        <v>26</v>
      </c>
      <c r="I19" s="125">
        <v>0</v>
      </c>
      <c r="J19" s="126">
        <f t="shared" si="0"/>
        <v>250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250</v>
      </c>
      <c r="P19" s="126">
        <v>0</v>
      </c>
      <c r="Q19" s="126">
        <v>0</v>
      </c>
      <c r="R19" s="126"/>
      <c r="S19" s="126">
        <v>0</v>
      </c>
      <c r="T19" s="127">
        <f t="shared" si="2"/>
        <v>250</v>
      </c>
      <c r="U19" s="132"/>
    </row>
    <row r="20" ht="45.65" customHeight="1" spans="1:21" x14ac:dyDescent="0.25">
      <c r="A20" s="121">
        <f t="shared" si="3"/>
        <v>15</v>
      </c>
      <c r="B20" s="122" t="s">
        <v>262</v>
      </c>
      <c r="C20" s="123" t="s">
        <v>130</v>
      </c>
      <c r="D20" s="124" t="s">
        <v>131</v>
      </c>
      <c r="E20" s="124" t="s">
        <v>98</v>
      </c>
      <c r="F20" s="123"/>
      <c r="G20" s="122">
        <v>100</v>
      </c>
      <c r="H20" s="125">
        <v>26</v>
      </c>
      <c r="I20" s="125">
        <v>0</v>
      </c>
      <c r="J20" s="126">
        <f t="shared" si="0"/>
        <v>100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100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2"/>
        <v>100</v>
      </c>
      <c r="U20" s="132"/>
    </row>
    <row r="21" ht="45.65" customHeight="1" spans="1:21" x14ac:dyDescent="0.25">
      <c r="A21" s="121">
        <f t="shared" si="3"/>
        <v>16</v>
      </c>
      <c r="B21" s="122" t="s">
        <v>263</v>
      </c>
      <c r="C21" s="123" t="s">
        <v>132</v>
      </c>
      <c r="D21" s="124" t="s">
        <v>97</v>
      </c>
      <c r="E21" s="124" t="s">
        <v>110</v>
      </c>
      <c r="F21" s="123" t="s">
        <v>133</v>
      </c>
      <c r="G21" s="122">
        <v>450</v>
      </c>
      <c r="H21" s="125">
        <v>26</v>
      </c>
      <c r="I21" s="125">
        <v>0</v>
      </c>
      <c r="J21" s="126">
        <f t="shared" si="0"/>
        <v>450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450</v>
      </c>
      <c r="P21" s="126">
        <v>0</v>
      </c>
      <c r="Q21" s="126">
        <v>0</v>
      </c>
      <c r="R21" s="126">
        <v>50</v>
      </c>
      <c r="S21" s="126">
        <v>0</v>
      </c>
      <c r="T21" s="127">
        <f t="shared" si="2"/>
        <v>400</v>
      </c>
      <c r="U21" s="132"/>
    </row>
    <row r="22" ht="45.65" customHeight="1" spans="1:21" x14ac:dyDescent="0.25">
      <c r="A22" s="121">
        <f t="shared" si="3"/>
        <v>17</v>
      </c>
      <c r="B22" s="122" t="s">
        <v>264</v>
      </c>
      <c r="C22" s="123" t="s">
        <v>136</v>
      </c>
      <c r="D22" s="124" t="s">
        <v>109</v>
      </c>
      <c r="E22" s="124" t="s">
        <v>98</v>
      </c>
      <c r="F22" s="123" t="s">
        <v>137</v>
      </c>
      <c r="G22" s="122">
        <v>50</v>
      </c>
      <c r="H22" s="210">
        <v>0</v>
      </c>
      <c r="I22" s="125">
        <v>0</v>
      </c>
      <c r="J22" s="151">
        <f t="shared" si="0"/>
        <v>0</v>
      </c>
      <c r="K22" s="126">
        <v>0</v>
      </c>
      <c r="L22" s="151">
        <v>0</v>
      </c>
      <c r="M22" s="151">
        <v>0</v>
      </c>
      <c r="N22" s="151">
        <v>0</v>
      </c>
      <c r="O22" s="126">
        <f t="shared" si="1"/>
        <v>0</v>
      </c>
      <c r="P22" s="151">
        <v>0</v>
      </c>
      <c r="Q22" s="126">
        <v>0</v>
      </c>
      <c r="R22" s="151">
        <v>0</v>
      </c>
      <c r="S22" s="151">
        <v>0</v>
      </c>
      <c r="T22" s="211">
        <f t="shared" si="2"/>
        <v>0</v>
      </c>
      <c r="U22" s="212"/>
    </row>
    <row r="23" ht="45.65" customHeight="1" spans="1:21" x14ac:dyDescent="0.25">
      <c r="A23" s="121">
        <f t="shared" si="3"/>
        <v>18</v>
      </c>
      <c r="B23" s="122" t="s">
        <v>267</v>
      </c>
      <c r="C23" s="123" t="s">
        <v>138</v>
      </c>
      <c r="D23" s="124" t="s">
        <v>109</v>
      </c>
      <c r="E23" s="124" t="s">
        <v>98</v>
      </c>
      <c r="F23" s="123" t="s">
        <v>139</v>
      </c>
      <c r="G23" s="122">
        <v>150</v>
      </c>
      <c r="H23" s="125">
        <v>26</v>
      </c>
      <c r="I23" s="125">
        <v>0</v>
      </c>
      <c r="J23" s="126">
        <f t="shared" si="0"/>
        <v>150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150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2"/>
        <v>150</v>
      </c>
      <c r="U23" s="132"/>
    </row>
    <row r="24" ht="45.65" customHeight="1" spans="1:21" x14ac:dyDescent="0.25">
      <c r="A24" s="121">
        <f t="shared" si="3"/>
        <v>19</v>
      </c>
      <c r="B24" s="122" t="s">
        <v>219</v>
      </c>
      <c r="C24" s="123" t="s">
        <v>220</v>
      </c>
      <c r="D24" s="124" t="s">
        <v>141</v>
      </c>
      <c r="E24" s="124" t="s">
        <v>98</v>
      </c>
      <c r="F24" s="123"/>
      <c r="G24" s="122">
        <v>150</v>
      </c>
      <c r="H24" s="125">
        <v>26</v>
      </c>
      <c r="I24" s="125">
        <v>0</v>
      </c>
      <c r="J24" s="126">
        <f t="shared" si="0"/>
        <v>150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150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150</v>
      </c>
      <c r="U24" s="132"/>
    </row>
    <row r="25" ht="45.65" customHeight="1" spans="1:21" x14ac:dyDescent="0.25">
      <c r="A25" s="121">
        <f t="shared" si="3"/>
        <v>20</v>
      </c>
      <c r="B25" s="122" t="s">
        <v>221</v>
      </c>
      <c r="C25" s="123" t="s">
        <v>222</v>
      </c>
      <c r="D25" s="124" t="s">
        <v>141</v>
      </c>
      <c r="E25" s="124" t="s">
        <v>98</v>
      </c>
      <c r="F25" s="123"/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2"/>
        <v>150</v>
      </c>
      <c r="U25" s="132"/>
    </row>
    <row r="26" ht="45.65" customHeight="1" spans="1:21" x14ac:dyDescent="0.25">
      <c r="A26" s="121">
        <f t="shared" si="3"/>
        <v>21</v>
      </c>
      <c r="B26" s="122" t="s">
        <v>293</v>
      </c>
      <c r="C26" s="123" t="s">
        <v>294</v>
      </c>
      <c r="D26" s="124" t="s">
        <v>116</v>
      </c>
      <c r="E26" s="124" t="s">
        <v>98</v>
      </c>
      <c r="F26" s="123"/>
      <c r="G26" s="122">
        <v>100</v>
      </c>
      <c r="H26" s="125">
        <v>26</v>
      </c>
      <c r="I26" s="125">
        <v>0</v>
      </c>
      <c r="J26" s="126">
        <f t="shared" si="0"/>
        <v>100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100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100</v>
      </c>
      <c r="U26" s="132"/>
    </row>
    <row r="27" ht="45.65" customHeight="1" spans="1:21" x14ac:dyDescent="0.25">
      <c r="A27" s="121">
        <f t="shared" si="3"/>
        <v>22</v>
      </c>
      <c r="B27" s="122" t="s">
        <v>269</v>
      </c>
      <c r="C27" s="123" t="s">
        <v>144</v>
      </c>
      <c r="D27" s="124" t="s">
        <v>141</v>
      </c>
      <c r="E27" s="124" t="s">
        <v>98</v>
      </c>
      <c r="F27" s="123" t="s">
        <v>69</v>
      </c>
      <c r="G27" s="122">
        <v>80</v>
      </c>
      <c r="H27" s="125">
        <v>26</v>
      </c>
      <c r="I27" s="125">
        <v>0</v>
      </c>
      <c r="J27" s="126">
        <f t="shared" si="0"/>
        <v>80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80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80</v>
      </c>
      <c r="U27" s="132"/>
    </row>
    <row r="28" ht="45.65" customHeight="1" spans="1:21" x14ac:dyDescent="0.25">
      <c r="A28" s="121">
        <f t="shared" si="3"/>
        <v>23</v>
      </c>
      <c r="B28" s="122" t="s">
        <v>270</v>
      </c>
      <c r="C28" s="123" t="s">
        <v>145</v>
      </c>
      <c r="D28" s="124" t="s">
        <v>97</v>
      </c>
      <c r="E28" s="124" t="s">
        <v>146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150</v>
      </c>
      <c r="U28" s="132"/>
    </row>
    <row r="29" ht="45.65" customHeight="1" spans="1:21" x14ac:dyDescent="0.25">
      <c r="A29" s="121">
        <f t="shared" si="3"/>
        <v>24</v>
      </c>
      <c r="B29" s="122" t="s">
        <v>223</v>
      </c>
      <c r="C29" s="123" t="s">
        <v>224</v>
      </c>
      <c r="D29" s="124" t="s">
        <v>141</v>
      </c>
      <c r="E29" s="124" t="s">
        <v>110</v>
      </c>
      <c r="F29" s="123"/>
      <c r="G29" s="122">
        <v>150</v>
      </c>
      <c r="H29" s="125">
        <v>26</v>
      </c>
      <c r="I29" s="125">
        <v>0</v>
      </c>
      <c r="J29" s="126">
        <f t="shared" si="0"/>
        <v>150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150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150</v>
      </c>
      <c r="U29" s="132"/>
    </row>
    <row r="30" ht="45.65" customHeight="1" spans="1:21" x14ac:dyDescent="0.25">
      <c r="A30" s="121">
        <f t="shared" si="3"/>
        <v>25</v>
      </c>
      <c r="B30" s="122" t="s">
        <v>271</v>
      </c>
      <c r="C30" s="123" t="s">
        <v>148</v>
      </c>
      <c r="D30" s="124" t="s">
        <v>116</v>
      </c>
      <c r="E30" s="124" t="s">
        <v>110</v>
      </c>
      <c r="F30" s="123"/>
      <c r="G30" s="122">
        <v>200</v>
      </c>
      <c r="H30" s="125">
        <v>26</v>
      </c>
      <c r="I30" s="125">
        <v>0</v>
      </c>
      <c r="J30" s="126">
        <f t="shared" si="0"/>
        <v>200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200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200</v>
      </c>
      <c r="U30" s="132"/>
    </row>
    <row r="31" ht="45.65" customHeight="1" spans="1:21" x14ac:dyDescent="0.25">
      <c r="A31" s="121">
        <f t="shared" si="3"/>
        <v>26</v>
      </c>
      <c r="B31" s="122" t="s">
        <v>272</v>
      </c>
      <c r="C31" s="123" t="s">
        <v>149</v>
      </c>
      <c r="D31" s="124" t="s">
        <v>116</v>
      </c>
      <c r="E31" s="124" t="s">
        <v>98</v>
      </c>
      <c r="F31" s="123"/>
      <c r="G31" s="122">
        <v>250</v>
      </c>
      <c r="H31" s="125">
        <v>26</v>
      </c>
      <c r="I31" s="125">
        <v>0</v>
      </c>
      <c r="J31" s="126">
        <f t="shared" si="0"/>
        <v>250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250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250</v>
      </c>
      <c r="U31" s="132"/>
    </row>
    <row r="32" ht="45.65" customHeight="1" spans="1:21" x14ac:dyDescent="0.25">
      <c r="A32" s="121">
        <f t="shared" si="3"/>
        <v>27</v>
      </c>
      <c r="B32" s="122" t="s">
        <v>226</v>
      </c>
      <c r="C32" s="123" t="s">
        <v>152</v>
      </c>
      <c r="D32" s="124" t="s">
        <v>97</v>
      </c>
      <c r="E32" s="124" t="s">
        <v>98</v>
      </c>
      <c r="F32" s="123" t="s">
        <v>153</v>
      </c>
      <c r="G32" s="122">
        <v>270</v>
      </c>
      <c r="H32" s="125">
        <v>26</v>
      </c>
      <c r="I32" s="125">
        <v>0</v>
      </c>
      <c r="J32" s="126">
        <f t="shared" si="0"/>
        <v>270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270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270</v>
      </c>
      <c r="U32" s="132"/>
    </row>
    <row r="33" ht="45.65" customHeight="1" spans="1:21" x14ac:dyDescent="0.25">
      <c r="A33" s="121">
        <f t="shared" si="3"/>
        <v>28</v>
      </c>
      <c r="B33" s="122" t="s">
        <v>273</v>
      </c>
      <c r="C33" s="123" t="s">
        <v>246</v>
      </c>
      <c r="D33" s="124" t="s">
        <v>100</v>
      </c>
      <c r="E33" s="124" t="s">
        <v>98</v>
      </c>
      <c r="F33" s="123"/>
      <c r="G33" s="122">
        <v>280</v>
      </c>
      <c r="H33" s="125">
        <v>26</v>
      </c>
      <c r="I33" s="125">
        <v>0</v>
      </c>
      <c r="J33" s="126">
        <f t="shared" si="0"/>
        <v>280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280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2"/>
        <v>280</v>
      </c>
      <c r="U33" s="132"/>
    </row>
    <row r="34" ht="45.65" customHeight="1" spans="1:21" x14ac:dyDescent="0.25">
      <c r="A34" s="121">
        <f t="shared" si="3"/>
        <v>29</v>
      </c>
      <c r="B34" s="122" t="s">
        <v>227</v>
      </c>
      <c r="C34" s="123" t="s">
        <v>191</v>
      </c>
      <c r="D34" s="124" t="s">
        <v>97</v>
      </c>
      <c r="E34" s="124" t="s">
        <v>98</v>
      </c>
      <c r="F34" s="123"/>
      <c r="G34" s="122">
        <v>800</v>
      </c>
      <c r="H34" s="125">
        <v>26</v>
      </c>
      <c r="I34" s="125">
        <v>0</v>
      </c>
      <c r="J34" s="126">
        <f t="shared" si="0"/>
        <v>800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800</v>
      </c>
      <c r="P34" s="126">
        <v>0</v>
      </c>
      <c r="Q34" s="126">
        <v>0</v>
      </c>
      <c r="R34" s="126">
        <v>0</v>
      </c>
      <c r="S34" s="152">
        <v>400</v>
      </c>
      <c r="T34" s="127">
        <f t="shared" si="2"/>
        <v>400</v>
      </c>
      <c r="U34" s="132" t="s">
        <v>57</v>
      </c>
    </row>
    <row r="35" ht="45.65" customHeight="1" spans="1:21" x14ac:dyDescent="0.25">
      <c r="A35" s="121">
        <f t="shared" si="3"/>
        <v>30</v>
      </c>
      <c r="B35" s="122" t="s">
        <v>228</v>
      </c>
      <c r="C35" s="123" t="s">
        <v>247</v>
      </c>
      <c r="D35" s="124" t="s">
        <v>97</v>
      </c>
      <c r="E35" s="124" t="s">
        <v>156</v>
      </c>
      <c r="F35" s="123" t="s">
        <v>160</v>
      </c>
      <c r="G35" s="122">
        <v>450</v>
      </c>
      <c r="H35" s="210">
        <v>26</v>
      </c>
      <c r="I35" s="125">
        <v>0</v>
      </c>
      <c r="J35" s="151">
        <v>600</v>
      </c>
      <c r="K35" s="126">
        <v>0</v>
      </c>
      <c r="L35" s="151">
        <v>0</v>
      </c>
      <c r="M35" s="151">
        <v>0</v>
      </c>
      <c r="N35" s="151">
        <v>0</v>
      </c>
      <c r="O35" s="126">
        <f t="shared" si="1"/>
        <v>600</v>
      </c>
      <c r="P35" s="151">
        <v>0</v>
      </c>
      <c r="Q35" s="126">
        <v>0</v>
      </c>
      <c r="R35" s="151">
        <v>0</v>
      </c>
      <c r="S35" s="152">
        <v>150</v>
      </c>
      <c r="T35" s="211">
        <f t="shared" si="2"/>
        <v>450</v>
      </c>
      <c r="U35" s="132" t="s">
        <v>57</v>
      </c>
    </row>
    <row r="36" ht="45.65" customHeight="1" spans="1:21" x14ac:dyDescent="0.25">
      <c r="A36" s="121">
        <f t="shared" si="3"/>
        <v>31</v>
      </c>
      <c r="B36" s="122" t="s">
        <v>229</v>
      </c>
      <c r="C36" s="123" t="s">
        <v>161</v>
      </c>
      <c r="D36" s="124" t="s">
        <v>97</v>
      </c>
      <c r="E36" s="124" t="s">
        <v>156</v>
      </c>
      <c r="F36" s="123" t="s">
        <v>162</v>
      </c>
      <c r="G36" s="122">
        <v>550</v>
      </c>
      <c r="H36" s="125">
        <v>26</v>
      </c>
      <c r="I36" s="125">
        <v>0</v>
      </c>
      <c r="J36" s="126">
        <f t="shared" si="0"/>
        <v>550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550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550</v>
      </c>
      <c r="U36" s="132"/>
    </row>
    <row r="37" ht="45.65" customHeight="1" spans="1:21" x14ac:dyDescent="0.25">
      <c r="A37" s="121">
        <f t="shared" si="3"/>
        <v>32</v>
      </c>
      <c r="B37" s="122" t="s">
        <v>231</v>
      </c>
      <c r="C37" s="123" t="s">
        <v>165</v>
      </c>
      <c r="D37" s="124" t="s">
        <v>97</v>
      </c>
      <c r="E37" s="124" t="s">
        <v>156</v>
      </c>
      <c r="F37" s="123" t="s">
        <v>164</v>
      </c>
      <c r="G37" s="122">
        <v>450</v>
      </c>
      <c r="H37" s="125">
        <v>26</v>
      </c>
      <c r="I37" s="125">
        <v>0</v>
      </c>
      <c r="J37" s="126">
        <f t="shared" si="0"/>
        <v>450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450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450</v>
      </c>
      <c r="U37" s="132"/>
    </row>
    <row r="38" ht="45.65" customHeight="1" spans="1:21" x14ac:dyDescent="0.25">
      <c r="A38" s="121">
        <f t="shared" si="3"/>
        <v>33</v>
      </c>
      <c r="B38" s="122" t="s">
        <v>233</v>
      </c>
      <c r="C38" s="123" t="s">
        <v>166</v>
      </c>
      <c r="D38" s="124" t="s">
        <v>100</v>
      </c>
      <c r="E38" s="124" t="s">
        <v>98</v>
      </c>
      <c r="F38" s="123" t="s">
        <v>167</v>
      </c>
      <c r="G38" s="122">
        <v>260</v>
      </c>
      <c r="H38" s="125">
        <v>26</v>
      </c>
      <c r="I38" s="125">
        <v>0</v>
      </c>
      <c r="J38" s="126">
        <f t="shared" si="0"/>
        <v>260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260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2"/>
        <v>260</v>
      </c>
      <c r="U38" s="132"/>
    </row>
    <row r="39" ht="45.65" customHeight="1" spans="1:21" x14ac:dyDescent="0.25">
      <c r="A39" s="121">
        <f t="shared" si="3"/>
        <v>34</v>
      </c>
      <c r="B39" s="129" t="s">
        <v>261</v>
      </c>
      <c r="C39" s="130" t="s">
        <v>114</v>
      </c>
      <c r="D39" s="124" t="s">
        <v>100</v>
      </c>
      <c r="E39" s="124" t="s">
        <v>98</v>
      </c>
      <c r="F39" s="130" t="s">
        <v>59</v>
      </c>
      <c r="G39" s="129">
        <v>160</v>
      </c>
      <c r="H39" s="210">
        <v>26</v>
      </c>
      <c r="I39" s="125">
        <v>0</v>
      </c>
      <c r="J39" s="151">
        <f t="shared" ref="J39" si="4">G39/26*H39</f>
        <v>160</v>
      </c>
      <c r="K39" s="126">
        <v>0</v>
      </c>
      <c r="L39" s="151">
        <v>0</v>
      </c>
      <c r="M39" s="151">
        <v>0</v>
      </c>
      <c r="N39" s="151">
        <v>0</v>
      </c>
      <c r="O39" s="126">
        <f t="shared" si="1"/>
        <v>160</v>
      </c>
      <c r="P39" s="151">
        <v>0</v>
      </c>
      <c r="Q39" s="126">
        <v>0</v>
      </c>
      <c r="R39" s="151">
        <v>0</v>
      </c>
      <c r="S39" s="151">
        <v>0</v>
      </c>
      <c r="T39" s="211">
        <f t="shared" ref="T39" si="5">O39-P39-Q39-R39-S39</f>
        <v>160</v>
      </c>
      <c r="U39" s="132"/>
    </row>
    <row r="40" ht="45.65" customHeight="1" spans="1:21" s="213" customFormat="1" x14ac:dyDescent="0.25">
      <c r="A40" s="121">
        <f t="shared" si="3"/>
        <v>35</v>
      </c>
      <c r="B40" s="122" t="s">
        <v>279</v>
      </c>
      <c r="C40" s="123" t="s">
        <v>181</v>
      </c>
      <c r="D40" s="124" t="s">
        <v>177</v>
      </c>
      <c r="E40" s="124" t="s">
        <v>98</v>
      </c>
      <c r="F40" s="123" t="s">
        <v>178</v>
      </c>
      <c r="G40" s="122">
        <v>240</v>
      </c>
      <c r="H40" s="125">
        <v>26</v>
      </c>
      <c r="I40" s="125">
        <v>0</v>
      </c>
      <c r="J40" s="126">
        <f>G40/26*H40</f>
        <v>239.99999999999997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239.99999999999997</v>
      </c>
      <c r="P40" s="126">
        <v>0</v>
      </c>
      <c r="Q40" s="126">
        <v>0</v>
      </c>
      <c r="R40" s="126">
        <v>0</v>
      </c>
      <c r="S40" s="126">
        <v>0</v>
      </c>
      <c r="T40" s="127">
        <f>O40-P40-Q40-R40-S40</f>
        <v>239.99999999999997</v>
      </c>
      <c r="U40" s="132"/>
    </row>
    <row r="41" ht="45.65" customHeight="1" spans="1:21" s="213" customFormat="1" x14ac:dyDescent="0.25">
      <c r="A41" s="121">
        <f t="shared" si="3"/>
        <v>36</v>
      </c>
      <c r="B41" s="122" t="s">
        <v>280</v>
      </c>
      <c r="C41" s="123" t="s">
        <v>192</v>
      </c>
      <c r="D41" s="124" t="s">
        <v>177</v>
      </c>
      <c r="E41" s="124" t="s">
        <v>98</v>
      </c>
      <c r="F41" s="123" t="s">
        <v>178</v>
      </c>
      <c r="G41" s="122">
        <v>120</v>
      </c>
      <c r="H41" s="125">
        <v>26</v>
      </c>
      <c r="I41" s="125">
        <v>0</v>
      </c>
      <c r="J41" s="126">
        <f>G41/26*H41</f>
        <v>119.99999999999999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119.99999999999999</v>
      </c>
      <c r="P41" s="126">
        <v>0</v>
      </c>
      <c r="Q41" s="126">
        <v>0</v>
      </c>
      <c r="R41" s="126">
        <v>0</v>
      </c>
      <c r="S41" s="126">
        <v>0</v>
      </c>
      <c r="T41" s="127">
        <f>O41-P41-Q41-R41-S41</f>
        <v>119.99999999999999</v>
      </c>
      <c r="U41" s="132"/>
    </row>
    <row r="42" ht="45.65" customHeight="1" spans="1:21" x14ac:dyDescent="0.25">
      <c r="A42" s="121">
        <f t="shared" si="3"/>
        <v>37</v>
      </c>
      <c r="B42" s="122" t="s">
        <v>281</v>
      </c>
      <c r="C42" s="171" t="s">
        <v>193</v>
      </c>
      <c r="D42" s="172" t="s">
        <v>177</v>
      </c>
      <c r="E42" s="124" t="s">
        <v>98</v>
      </c>
      <c r="F42" s="171" t="s">
        <v>194</v>
      </c>
      <c r="G42" s="170">
        <v>100</v>
      </c>
      <c r="H42" s="173">
        <v>26</v>
      </c>
      <c r="I42" s="125">
        <v>0</v>
      </c>
      <c r="J42" s="174">
        <f>G42/26*H42</f>
        <v>100</v>
      </c>
      <c r="K42" s="126">
        <v>0</v>
      </c>
      <c r="L42" s="174">
        <v>0</v>
      </c>
      <c r="M42" s="174">
        <v>0</v>
      </c>
      <c r="N42" s="174">
        <v>0</v>
      </c>
      <c r="O42" s="126">
        <f t="shared" si="1"/>
        <v>100</v>
      </c>
      <c r="P42" s="174">
        <v>0</v>
      </c>
      <c r="Q42" s="126">
        <v>0</v>
      </c>
      <c r="R42" s="174">
        <v>0</v>
      </c>
      <c r="S42" s="174">
        <v>0</v>
      </c>
      <c r="T42" s="175">
        <f>O42-P42-Q42-R42-S42</f>
        <v>100</v>
      </c>
      <c r="U42" s="132"/>
    </row>
    <row r="43" ht="45.65" customHeight="1" spans="1:21" x14ac:dyDescent="0.25">
      <c r="A43" s="121">
        <f t="shared" si="3"/>
        <v>38</v>
      </c>
      <c r="B43" s="122" t="s">
        <v>282</v>
      </c>
      <c r="C43" s="178" t="s">
        <v>195</v>
      </c>
      <c r="D43" s="179" t="s">
        <v>109</v>
      </c>
      <c r="E43" s="124" t="s">
        <v>98</v>
      </c>
      <c r="F43" s="178" t="s">
        <v>196</v>
      </c>
      <c r="G43" s="177">
        <v>250</v>
      </c>
      <c r="H43" s="180">
        <v>26</v>
      </c>
      <c r="I43" s="125">
        <v>0</v>
      </c>
      <c r="J43" s="181">
        <f t="shared" si="0"/>
        <v>250</v>
      </c>
      <c r="K43" s="126">
        <v>0</v>
      </c>
      <c r="L43" s="181">
        <v>0</v>
      </c>
      <c r="M43" s="181">
        <v>0</v>
      </c>
      <c r="N43" s="181">
        <v>0</v>
      </c>
      <c r="O43" s="126">
        <f t="shared" si="1"/>
        <v>250</v>
      </c>
      <c r="P43" s="181">
        <v>0</v>
      </c>
      <c r="Q43" s="126">
        <v>0</v>
      </c>
      <c r="R43" s="181">
        <v>0</v>
      </c>
      <c r="S43" s="181">
        <v>0</v>
      </c>
      <c r="T43" s="182">
        <f t="shared" si="2"/>
        <v>250</v>
      </c>
      <c r="U43" s="132"/>
    </row>
    <row r="44" ht="45.65" customHeight="1" spans="1:21" x14ac:dyDescent="0.25">
      <c r="A44" s="121">
        <f t="shared" si="3"/>
        <v>39</v>
      </c>
      <c r="B44" s="122" t="s">
        <v>283</v>
      </c>
      <c r="C44" s="155" t="s">
        <v>197</v>
      </c>
      <c r="D44" s="154" t="s">
        <v>177</v>
      </c>
      <c r="E44" s="124" t="s">
        <v>98</v>
      </c>
      <c r="F44" s="155" t="s">
        <v>198</v>
      </c>
      <c r="G44" s="157">
        <v>100</v>
      </c>
      <c r="H44" s="125">
        <v>26</v>
      </c>
      <c r="I44" s="125">
        <v>0</v>
      </c>
      <c r="J44" s="126">
        <f t="shared" si="0"/>
        <v>100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100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100</v>
      </c>
      <c r="U44" s="132"/>
    </row>
    <row r="45" ht="45.65" customHeight="1" spans="1:21" x14ac:dyDescent="0.25">
      <c r="A45" s="121">
        <f t="shared" si="3"/>
        <v>40</v>
      </c>
      <c r="B45" s="122" t="s">
        <v>284</v>
      </c>
      <c r="C45" s="155" t="s">
        <v>199</v>
      </c>
      <c r="D45" s="154" t="s">
        <v>177</v>
      </c>
      <c r="E45" s="124" t="s">
        <v>98</v>
      </c>
      <c r="F45" s="155" t="s">
        <v>200</v>
      </c>
      <c r="G45" s="157">
        <v>150</v>
      </c>
      <c r="H45" s="125">
        <v>26</v>
      </c>
      <c r="I45" s="125">
        <v>0</v>
      </c>
      <c r="J45" s="126">
        <f t="shared" si="0"/>
        <v>150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150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150</v>
      </c>
      <c r="U45" s="132"/>
    </row>
    <row r="46" ht="45.65" customHeight="1" spans="1:21" x14ac:dyDescent="0.25">
      <c r="A46" s="121">
        <f t="shared" si="3"/>
        <v>41</v>
      </c>
      <c r="B46" s="122" t="s">
        <v>285</v>
      </c>
      <c r="C46" s="155" t="s">
        <v>250</v>
      </c>
      <c r="D46" s="154" t="s">
        <v>177</v>
      </c>
      <c r="E46" s="154" t="s">
        <v>98</v>
      </c>
      <c r="F46" s="155" t="s">
        <v>198</v>
      </c>
      <c r="G46" s="157">
        <v>100</v>
      </c>
      <c r="H46" s="125">
        <v>26</v>
      </c>
      <c r="I46" s="125">
        <v>0</v>
      </c>
      <c r="J46" s="126">
        <f t="shared" si="0"/>
        <v>100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100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2"/>
        <v>100</v>
      </c>
      <c r="U46" s="132"/>
    </row>
    <row r="47" ht="45.65" customHeight="1" spans="1:21" x14ac:dyDescent="0.25">
      <c r="A47" s="121">
        <f t="shared" si="3"/>
        <v>42</v>
      </c>
      <c r="B47" s="122" t="s">
        <v>252</v>
      </c>
      <c r="C47" s="155" t="s">
        <v>253</v>
      </c>
      <c r="D47" s="154" t="s">
        <v>100</v>
      </c>
      <c r="E47" s="154" t="s">
        <v>98</v>
      </c>
      <c r="F47" s="155"/>
      <c r="G47" s="157">
        <v>500</v>
      </c>
      <c r="H47" s="125">
        <v>26</v>
      </c>
      <c r="I47" s="125">
        <v>0</v>
      </c>
      <c r="J47" s="126">
        <f t="shared" ref="J47:J52" si="6">G47/26*H47</f>
        <v>500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500</v>
      </c>
      <c r="P47" s="126">
        <v>0</v>
      </c>
      <c r="Q47" s="126">
        <v>0</v>
      </c>
      <c r="R47" s="126">
        <v>0</v>
      </c>
      <c r="S47" s="126">
        <v>0</v>
      </c>
      <c r="T47" s="127">
        <f>O47-P47-Q47-R47-S47</f>
        <v>500</v>
      </c>
      <c r="U47" s="132"/>
    </row>
    <row r="48" ht="45.65" customHeight="1" spans="1:21" x14ac:dyDescent="0.25">
      <c r="A48" s="121">
        <f t="shared" si="3"/>
        <v>43</v>
      </c>
      <c r="B48" s="122" t="s">
        <v>287</v>
      </c>
      <c r="C48" s="155" t="s">
        <v>254</v>
      </c>
      <c r="D48" s="154" t="s">
        <v>100</v>
      </c>
      <c r="E48" s="154" t="s">
        <v>98</v>
      </c>
      <c r="F48" s="155"/>
      <c r="G48" s="157">
        <v>350</v>
      </c>
      <c r="H48" s="125">
        <v>26</v>
      </c>
      <c r="I48" s="125">
        <v>0</v>
      </c>
      <c r="J48" s="126">
        <f t="shared" si="6"/>
        <v>350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350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2"/>
        <v>350</v>
      </c>
      <c r="U48" s="132"/>
    </row>
    <row r="49" ht="45.65" customHeight="1" spans="1:21" x14ac:dyDescent="0.25">
      <c r="A49" s="121">
        <f t="shared" si="3"/>
        <v>44</v>
      </c>
      <c r="B49" s="122" t="s">
        <v>288</v>
      </c>
      <c r="C49" s="155" t="s">
        <v>289</v>
      </c>
      <c r="D49" s="154" t="s">
        <v>100</v>
      </c>
      <c r="E49" s="154" t="s">
        <v>98</v>
      </c>
      <c r="F49" s="155"/>
      <c r="G49" s="157">
        <v>80</v>
      </c>
      <c r="H49" s="125">
        <v>26</v>
      </c>
      <c r="I49" s="125">
        <v>0</v>
      </c>
      <c r="J49" s="126">
        <f t="shared" si="6"/>
        <v>80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80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2"/>
        <v>80</v>
      </c>
      <c r="U49" s="132"/>
    </row>
    <row r="50" ht="45.65" customHeight="1" spans="1:21" x14ac:dyDescent="0.25">
      <c r="A50" s="121">
        <f t="shared" si="3"/>
        <v>45</v>
      </c>
      <c r="B50" s="122" t="s">
        <v>290</v>
      </c>
      <c r="C50" s="155" t="s">
        <v>291</v>
      </c>
      <c r="D50" s="154" t="s">
        <v>100</v>
      </c>
      <c r="E50" s="154" t="s">
        <v>98</v>
      </c>
      <c r="F50" s="155"/>
      <c r="G50" s="157">
        <v>60</v>
      </c>
      <c r="H50" s="125">
        <v>26</v>
      </c>
      <c r="I50" s="125">
        <v>0</v>
      </c>
      <c r="J50" s="126">
        <f t="shared" si="6"/>
        <v>59.99999999999999</v>
      </c>
      <c r="K50" s="126">
        <v>0</v>
      </c>
      <c r="L50" s="126">
        <v>60</v>
      </c>
      <c r="M50" s="126">
        <v>0</v>
      </c>
      <c r="N50" s="126">
        <v>0</v>
      </c>
      <c r="O50" s="126">
        <f t="shared" si="1"/>
        <v>120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2"/>
        <v>120</v>
      </c>
      <c r="U50" s="132"/>
    </row>
    <row r="51" ht="45.65" customHeight="1" spans="1:21" x14ac:dyDescent="0.25">
      <c r="A51" s="121">
        <f t="shared" si="3"/>
        <v>46</v>
      </c>
      <c r="B51" s="122" t="s">
        <v>295</v>
      </c>
      <c r="C51" s="155" t="s">
        <v>296</v>
      </c>
      <c r="D51" s="154"/>
      <c r="E51" s="154"/>
      <c r="F51" s="155"/>
      <c r="G51" s="157">
        <v>270</v>
      </c>
      <c r="H51" s="125">
        <v>26</v>
      </c>
      <c r="I51" s="125">
        <v>0</v>
      </c>
      <c r="J51" s="126">
        <f t="shared" si="6"/>
        <v>270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270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ref="T51:T52" si="7">O51-P51-Q51-R51-S51</f>
        <v>270</v>
      </c>
      <c r="U51" s="132"/>
    </row>
    <row r="52" ht="45.65" customHeight="1" spans="1:21" x14ac:dyDescent="0.25">
      <c r="A52" s="121">
        <f t="shared" si="3"/>
        <v>47</v>
      </c>
      <c r="B52" s="122" t="s">
        <v>297</v>
      </c>
      <c r="C52" s="155" t="s">
        <v>298</v>
      </c>
      <c r="D52" s="154"/>
      <c r="E52" s="154"/>
      <c r="F52" s="155"/>
      <c r="G52" s="157">
        <v>80</v>
      </c>
      <c r="H52" s="125">
        <v>26</v>
      </c>
      <c r="I52" s="125">
        <v>0</v>
      </c>
      <c r="J52" s="126">
        <f t="shared" si="6"/>
        <v>80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80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7"/>
        <v>80</v>
      </c>
      <c r="U52" s="132"/>
    </row>
    <row r="53" ht="45.65" customHeight="1" spans="1:21" x14ac:dyDescent="0.25">
      <c r="A53" s="121">
        <f t="shared" si="3"/>
        <v>48</v>
      </c>
      <c r="B53" s="122" t="s">
        <v>277</v>
      </c>
      <c r="C53" s="123" t="s">
        <v>176</v>
      </c>
      <c r="D53" s="124" t="s">
        <v>177</v>
      </c>
      <c r="E53" s="124" t="s">
        <v>98</v>
      </c>
      <c r="F53" s="123" t="s">
        <v>178</v>
      </c>
      <c r="G53" s="122">
        <v>80</v>
      </c>
      <c r="H53" s="125">
        <v>26</v>
      </c>
      <c r="I53" s="125">
        <v>0</v>
      </c>
      <c r="J53" s="126">
        <f>G53/26*H53</f>
        <v>80</v>
      </c>
      <c r="K53" s="126">
        <v>0</v>
      </c>
      <c r="L53" s="126">
        <v>70</v>
      </c>
      <c r="M53" s="126">
        <v>0</v>
      </c>
      <c r="N53" s="126">
        <v>0</v>
      </c>
      <c r="O53" s="126">
        <f t="shared" si="1"/>
        <v>150</v>
      </c>
      <c r="P53" s="126">
        <v>0</v>
      </c>
      <c r="Q53" s="126">
        <v>0</v>
      </c>
      <c r="R53" s="126">
        <v>0</v>
      </c>
      <c r="S53" s="126">
        <v>0</v>
      </c>
      <c r="T53" s="127">
        <f>O53-P53-Q53-R53-S53</f>
        <v>150</v>
      </c>
      <c r="U53" s="132"/>
    </row>
    <row r="54" ht="45.65" customHeight="1" spans="1:21" x14ac:dyDescent="0.25">
      <c r="A54" s="121">
        <f t="shared" si="3"/>
        <v>49</v>
      </c>
      <c r="B54" s="122" t="s">
        <v>299</v>
      </c>
      <c r="C54" s="123" t="s">
        <v>300</v>
      </c>
      <c r="D54" s="124"/>
      <c r="E54" s="124"/>
      <c r="F54" s="123"/>
      <c r="G54" s="122">
        <v>250</v>
      </c>
      <c r="H54" s="125">
        <v>26</v>
      </c>
      <c r="I54" s="125">
        <v>0</v>
      </c>
      <c r="J54" s="126">
        <f>G54/26*H54</f>
        <v>250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250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ref="T54:T61" si="8">O54-P54-Q54-R54-S54</f>
        <v>250</v>
      </c>
      <c r="U54" s="132"/>
    </row>
    <row r="55" ht="45.65" customHeight="1" spans="1:21" x14ac:dyDescent="0.25">
      <c r="A55" s="121">
        <f t="shared" si="3"/>
        <v>50</v>
      </c>
      <c r="B55" s="122" t="s">
        <v>237</v>
      </c>
      <c r="C55" s="155" t="s">
        <v>201</v>
      </c>
      <c r="D55" s="154" t="s">
        <v>97</v>
      </c>
      <c r="E55" s="154" t="s">
        <v>98</v>
      </c>
      <c r="F55" s="155"/>
      <c r="G55" s="156">
        <v>600</v>
      </c>
      <c r="H55" s="125">
        <v>26</v>
      </c>
      <c r="I55" s="125">
        <v>0</v>
      </c>
      <c r="J55" s="126">
        <f t="shared" si="0"/>
        <v>600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600</v>
      </c>
      <c r="P55" s="126">
        <v>0</v>
      </c>
      <c r="Q55" s="126">
        <v>0</v>
      </c>
      <c r="R55" s="126">
        <v>0</v>
      </c>
      <c r="S55" s="152">
        <v>166</v>
      </c>
      <c r="T55" s="127">
        <f t="shared" si="8"/>
        <v>434</v>
      </c>
      <c r="U55" s="132" t="s">
        <v>57</v>
      </c>
    </row>
    <row r="56" ht="45.65" customHeight="1" spans="1:21" x14ac:dyDescent="0.25">
      <c r="A56" s="121">
        <f t="shared" si="3"/>
        <v>51</v>
      </c>
      <c r="B56" s="122" t="s">
        <v>238</v>
      </c>
      <c r="C56" s="155" t="s">
        <v>202</v>
      </c>
      <c r="D56" s="154" t="s">
        <v>97</v>
      </c>
      <c r="E56" s="154" t="s">
        <v>156</v>
      </c>
      <c r="F56" s="155" t="s">
        <v>301</v>
      </c>
      <c r="G56" s="156">
        <v>422.6</v>
      </c>
      <c r="H56" s="125">
        <v>26</v>
      </c>
      <c r="I56" s="125">
        <v>0</v>
      </c>
      <c r="J56" s="126">
        <f t="shared" si="0"/>
        <v>422.6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422.6</v>
      </c>
      <c r="P56" s="126">
        <v>0</v>
      </c>
      <c r="Q56" s="126">
        <v>0</v>
      </c>
      <c r="R56" s="126">
        <v>0</v>
      </c>
      <c r="S56" s="126">
        <v>0</v>
      </c>
      <c r="T56" s="127">
        <f t="shared" si="8"/>
        <v>422.6</v>
      </c>
      <c r="U56" s="132"/>
    </row>
    <row r="57" ht="45.65" customHeight="1" spans="1:21" x14ac:dyDescent="0.25">
      <c r="A57" s="121">
        <f t="shared" si="3"/>
        <v>52</v>
      </c>
      <c r="B57" s="122" t="s">
        <v>239</v>
      </c>
      <c r="C57" s="155" t="s">
        <v>170</v>
      </c>
      <c r="D57" s="154"/>
      <c r="E57" s="154" t="s">
        <v>171</v>
      </c>
      <c r="F57" s="155"/>
      <c r="G57" s="157">
        <v>300</v>
      </c>
      <c r="H57" s="125">
        <v>26</v>
      </c>
      <c r="I57" s="125">
        <v>0</v>
      </c>
      <c r="J57" s="126">
        <f t="shared" si="0"/>
        <v>300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300</v>
      </c>
      <c r="P57" s="126">
        <v>0</v>
      </c>
      <c r="Q57" s="126">
        <v>0</v>
      </c>
      <c r="R57" s="126">
        <v>0</v>
      </c>
      <c r="S57" s="152">
        <v>300</v>
      </c>
      <c r="T57" s="127">
        <f t="shared" si="8"/>
        <v>0</v>
      </c>
      <c r="U57" s="132" t="s">
        <v>57</v>
      </c>
    </row>
    <row r="58" ht="45.65" customHeight="1" spans="1:21" x14ac:dyDescent="0.25">
      <c r="A58" s="121">
        <f t="shared" si="3"/>
        <v>53</v>
      </c>
      <c r="B58" s="122" t="s">
        <v>240</v>
      </c>
      <c r="C58" s="155" t="s">
        <v>172</v>
      </c>
      <c r="D58" s="154"/>
      <c r="E58" s="154" t="s">
        <v>171</v>
      </c>
      <c r="F58" s="155"/>
      <c r="G58" s="157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26">
        <v>0</v>
      </c>
      <c r="R58" s="126">
        <v>0</v>
      </c>
      <c r="S58" s="152">
        <v>600</v>
      </c>
      <c r="T58" s="127">
        <f t="shared" si="8"/>
        <v>0</v>
      </c>
      <c r="U58" s="131" t="s">
        <v>57</v>
      </c>
    </row>
    <row r="59" ht="45.65" customHeight="1" spans="1:21" x14ac:dyDescent="0.25">
      <c r="A59" s="121">
        <f t="shared" si="3"/>
        <v>54</v>
      </c>
      <c r="B59" s="122"/>
      <c r="C59" s="155"/>
      <c r="D59" s="154"/>
      <c r="E59" s="154"/>
      <c r="F59" s="155"/>
      <c r="G59" s="157"/>
      <c r="H59" s="125">
        <v>26</v>
      </c>
      <c r="I59" s="125">
        <v>0</v>
      </c>
      <c r="J59" s="126">
        <f t="shared" si="0"/>
        <v>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8"/>
        <v>0</v>
      </c>
      <c r="U59" s="128"/>
    </row>
    <row r="60" ht="45.65" customHeight="1" spans="1:21" x14ac:dyDescent="0.25">
      <c r="A60" s="121">
        <f t="shared" si="3"/>
        <v>55</v>
      </c>
      <c r="B60" s="122"/>
      <c r="C60" s="155"/>
      <c r="D60" s="154"/>
      <c r="E60" s="154"/>
      <c r="F60" s="155"/>
      <c r="G60" s="157"/>
      <c r="H60" s="125">
        <v>26</v>
      </c>
      <c r="I60" s="125">
        <v>0</v>
      </c>
      <c r="J60" s="126">
        <f t="shared" si="0"/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0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8"/>
        <v>0</v>
      </c>
      <c r="U60" s="128"/>
    </row>
    <row r="61" ht="45.65" customHeight="1" spans="1:21" x14ac:dyDescent="0.25">
      <c r="A61" s="121">
        <f t="shared" si="3"/>
        <v>56</v>
      </c>
      <c r="B61" s="122"/>
      <c r="C61" s="160"/>
      <c r="D61" s="161"/>
      <c r="E61" s="161"/>
      <c r="F61" s="160"/>
      <c r="G61" s="162"/>
      <c r="H61" s="163">
        <v>26</v>
      </c>
      <c r="I61" s="125">
        <v>0</v>
      </c>
      <c r="J61" s="164">
        <f t="shared" si="0"/>
        <v>0</v>
      </c>
      <c r="K61" s="126">
        <v>0</v>
      </c>
      <c r="L61" s="164">
        <v>0</v>
      </c>
      <c r="M61" s="164">
        <v>0</v>
      </c>
      <c r="N61" s="164">
        <v>0</v>
      </c>
      <c r="O61" s="126">
        <f t="shared" si="1"/>
        <v>0</v>
      </c>
      <c r="P61" s="164">
        <v>0</v>
      </c>
      <c r="Q61" s="126">
        <v>0</v>
      </c>
      <c r="R61" s="164">
        <v>0</v>
      </c>
      <c r="S61" s="164">
        <v>0</v>
      </c>
      <c r="T61" s="127">
        <f t="shared" si="8"/>
        <v>0</v>
      </c>
      <c r="U61" s="166"/>
    </row>
    <row r="62" ht="50.15" customHeight="1" spans="1:21" x14ac:dyDescent="0.25">
      <c r="A62" s="184" t="s">
        <v>26</v>
      </c>
      <c r="B62" s="185"/>
      <c r="C62" s="185"/>
      <c r="D62" s="185"/>
      <c r="E62" s="185"/>
      <c r="F62" s="185"/>
      <c r="G62" s="185"/>
      <c r="H62" s="185"/>
      <c r="I62" s="186"/>
      <c r="J62" s="146">
        <f t="shared" ref="J62:T62" si="9">SUBTOTAL(9,J6:J61)</f>
        <v>15237.6</v>
      </c>
      <c r="K62" s="146">
        <f t="shared" si="9"/>
        <v>0</v>
      </c>
      <c r="L62" s="146">
        <f t="shared" si="9"/>
        <v>130</v>
      </c>
      <c r="M62" s="146">
        <f t="shared" si="9"/>
        <v>0</v>
      </c>
      <c r="N62" s="146">
        <f t="shared" si="9"/>
        <v>300</v>
      </c>
      <c r="O62" s="146">
        <f t="shared" si="9"/>
        <v>15667.6</v>
      </c>
      <c r="P62" s="146">
        <f t="shared" si="9"/>
        <v>0</v>
      </c>
      <c r="Q62" s="146">
        <f t="shared" si="9"/>
        <v>0</v>
      </c>
      <c r="R62" s="146">
        <f t="shared" si="9"/>
        <v>150</v>
      </c>
      <c r="S62" s="167">
        <f t="shared" si="9"/>
        <v>2006</v>
      </c>
      <c r="T62" s="147">
        <f t="shared" si="9"/>
        <v>13511.6</v>
      </c>
      <c r="U62" s="146"/>
    </row>
    <row r="66" spans="15:18" x14ac:dyDescent="0.25">
      <c r="O66" s="148"/>
      <c r="R66" s="148"/>
    </row>
  </sheetData>
  <autoFilter ref="A5:U61"/>
  <mergeCells count="15">
    <mergeCell ref="A1:U1"/>
    <mergeCell ref="A2:U2"/>
    <mergeCell ref="A3:U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3"/>
  <sheetViews>
    <sheetView workbookViewId="0" zoomScale="70" zoomScaleNormal="70">
      <pane ySplit="5" topLeftCell="A71" activePane="bottomLeft" state="frozen"/>
      <selection pane="bottomLeft" activeCell="P22" sqref="P22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348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hidden="1" spans="1:27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8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>
        <f>VLOOKUP(B6:B63,[1]Sheet1!$E:$J,6,0)</f>
        <v>1000</v>
      </c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f>A6+1</f>
        <v>2</v>
      </c>
      <c r="B7" s="122" t="s">
        <v>257</v>
      </c>
      <c r="C7" s="123" t="s">
        <v>242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8" si="1">J7+K7+L7+M7+N7</f>
        <v>150</v>
      </c>
      <c r="P7" s="126">
        <v>0</v>
      </c>
      <c r="Q7" s="126">
        <v>5.77</v>
      </c>
      <c r="R7" s="126">
        <v>0</v>
      </c>
      <c r="S7" s="126">
        <v>0</v>
      </c>
      <c r="T7" s="127">
        <f>O7-P7-Q7-R7-S7</f>
        <v>144.23</v>
      </c>
      <c r="U7" s="128">
        <f>VLOOKUP(B7:B64,[1]Sheet1!$E:$J,6,0)</f>
        <v>144.23</v>
      </c>
      <c r="V7" t="s">
        <v>205</v>
      </c>
      <c r="W7" s="128"/>
      <c r="X7" s="128"/>
      <c r="Z7" s="189">
        <v>69.23</v>
      </c>
      <c r="AA7" s="148">
        <f t="shared" ref="AA7:AA62" si="2">T7-Z7</f>
        <v>74.99999999999999</v>
      </c>
    </row>
    <row r="8" ht="45.65" customHeight="1" hidden="1" spans="1:27" x14ac:dyDescent="0.25">
      <c r="A8" s="121">
        <f t="shared" ref="A8:A13" si="3">A7+1</f>
        <v>3</v>
      </c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68" si="4">O8-P8-Q8-R8-S8</f>
        <v>410</v>
      </c>
      <c r="U8" s="128">
        <f>VLOOKUP(B8:B65,[1]Sheet1!$E:$J,6,0)</f>
        <v>0</v>
      </c>
      <c r="V8" t="s">
        <v>207</v>
      </c>
      <c r="X8" s="131"/>
      <c r="Y8" t="s">
        <v>243</v>
      </c>
      <c r="Z8" s="189">
        <v>410</v>
      </c>
      <c r="AA8" s="148">
        <f t="shared" si="2"/>
        <v>0</v>
      </c>
    </row>
    <row r="9" ht="45.65" customHeight="1" hidden="1" spans="1:27" x14ac:dyDescent="0.25">
      <c r="A9" s="121">
        <f t="shared" si="3"/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4"/>
        <v>255.00000000000003</v>
      </c>
      <c r="U9" s="128">
        <f>VLOOKUP(B9:B66,[1]Sheet1!$E:$J,6,0)</f>
        <v>255.00000000000003</v>
      </c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hidden="1" spans="1:27" x14ac:dyDescent="0.25">
      <c r="A10" s="121">
        <f t="shared" si="3"/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4"/>
        <v>150</v>
      </c>
      <c r="U10" s="128">
        <f>VLOOKUP(B10:B67,[1]Sheet1!$E:$J,6,0)</f>
        <v>150</v>
      </c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f t="shared" si="3"/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165.38</v>
      </c>
      <c r="R11" s="126">
        <v>0</v>
      </c>
      <c r="S11" s="126">
        <v>0</v>
      </c>
      <c r="T11" s="127">
        <f t="shared" si="4"/>
        <v>264.62000000000006</v>
      </c>
      <c r="U11" s="128">
        <f>VLOOKUP(B11:B68,[1]Sheet1!$E:$J,6,0)</f>
        <v>264.62000000000006</v>
      </c>
      <c r="V11" t="s">
        <v>205</v>
      </c>
      <c r="W11" s="132"/>
      <c r="X11" s="132"/>
      <c r="Z11" s="189">
        <v>430</v>
      </c>
      <c r="AA11" s="148">
        <f t="shared" si="2"/>
        <v>-165.37999999999994</v>
      </c>
    </row>
    <row r="12" ht="45.65" customHeight="1" hidden="1" spans="1:27" x14ac:dyDescent="0.25">
      <c r="A12" s="121">
        <f t="shared" si="3"/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4"/>
        <v>189.99999999999997</v>
      </c>
      <c r="U12" s="128">
        <f>VLOOKUP(B12:B69,[1]Sheet1!$E:$J,6,0)</f>
        <v>189.99999999999997</v>
      </c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0</v>
      </c>
    </row>
    <row r="13" ht="45.65" customHeight="1" hidden="1" spans="1:27" x14ac:dyDescent="0.25">
      <c r="A13" s="121">
        <f t="shared" si="3"/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40</v>
      </c>
      <c r="M13" s="126">
        <v>0</v>
      </c>
      <c r="N13" s="126">
        <v>0</v>
      </c>
      <c r="O13" s="126">
        <f t="shared" si="1"/>
        <v>370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4"/>
        <v>370</v>
      </c>
      <c r="U13" s="128">
        <f>VLOOKUP(B13:B70,[1]Sheet1!$E:$J,6,0)</f>
        <v>370</v>
      </c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40</v>
      </c>
    </row>
    <row r="14" ht="45.65" customHeight="1" hidden="1" spans="1:27" s="195" customFormat="1" x14ac:dyDescent="0.25">
      <c r="A14" s="196">
        <v>9</v>
      </c>
      <c r="B14" s="197" t="s">
        <v>261</v>
      </c>
      <c r="C14" s="198" t="s">
        <v>114</v>
      </c>
      <c r="D14" s="199" t="s">
        <v>100</v>
      </c>
      <c r="E14" s="199" t="s">
        <v>98</v>
      </c>
      <c r="F14" s="198" t="s">
        <v>59</v>
      </c>
      <c r="G14" s="200">
        <v>480</v>
      </c>
      <c r="H14" s="201">
        <v>0</v>
      </c>
      <c r="I14" s="201"/>
      <c r="J14" s="202">
        <f t="shared" si="0"/>
        <v>0</v>
      </c>
      <c r="K14" s="202">
        <v>0</v>
      </c>
      <c r="L14" s="202">
        <v>0</v>
      </c>
      <c r="M14" s="202">
        <v>0</v>
      </c>
      <c r="N14" s="202">
        <v>0</v>
      </c>
      <c r="O14" s="202">
        <f t="shared" si="1"/>
        <v>0</v>
      </c>
      <c r="P14" s="202">
        <v>0</v>
      </c>
      <c r="Q14" s="202">
        <v>0</v>
      </c>
      <c r="R14" s="202">
        <v>0</v>
      </c>
      <c r="S14" s="202">
        <v>0</v>
      </c>
      <c r="T14" s="203">
        <f t="shared" si="4"/>
        <v>0</v>
      </c>
      <c r="U14" s="204"/>
      <c r="V14" s="195" t="s">
        <v>205</v>
      </c>
      <c r="W14" s="204"/>
      <c r="X14" s="204"/>
      <c r="Z14" s="205">
        <v>0</v>
      </c>
      <c r="AA14" s="206">
        <f t="shared" si="2"/>
        <v>0</v>
      </c>
    </row>
    <row r="15" ht="45.65" customHeight="1" hidden="1" spans="1:27" x14ac:dyDescent="0.25">
      <c r="A15" s="121">
        <f t="shared" ref="A15:A23" si="5">A14+1</f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4"/>
        <v>200</v>
      </c>
      <c r="U15" s="128">
        <f>VLOOKUP(B15:B72,[1]Sheet1!$E:$J,6,0)</f>
        <v>200</v>
      </c>
      <c r="V15" t="s">
        <v>207</v>
      </c>
      <c r="W15" s="132"/>
      <c r="X15" s="132"/>
      <c r="Y15" t="s">
        <v>243</v>
      </c>
      <c r="Z15" s="189">
        <v>200</v>
      </c>
      <c r="AA15" s="148">
        <f t="shared" si="2"/>
        <v>0</v>
      </c>
    </row>
    <row r="16" ht="45.65" customHeight="1" hidden="1" spans="1:27" x14ac:dyDescent="0.25">
      <c r="A16" s="121">
        <f t="shared" si="5"/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4"/>
        <v>430.00000000000006</v>
      </c>
      <c r="U16" s="128">
        <f>VLOOKUP(B16:B73,[1]Sheet1!$E:$J,6,0)</f>
        <v>430.00000000000006</v>
      </c>
      <c r="V16" t="s">
        <v>207</v>
      </c>
      <c r="W16" s="132"/>
      <c r="X16" s="132"/>
      <c r="Y16" t="s">
        <v>243</v>
      </c>
      <c r="Z16" s="189">
        <v>430</v>
      </c>
      <c r="AA16" s="148">
        <f t="shared" si="2"/>
        <v>0</v>
      </c>
    </row>
    <row r="17" ht="45.65" customHeight="1" hidden="1" spans="1:27" x14ac:dyDescent="0.25">
      <c r="A17" s="121">
        <f t="shared" si="5"/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4"/>
        <v>400</v>
      </c>
      <c r="U17" s="128">
        <f>VLOOKUP(B17:B74,[1]Sheet1!$E:$J,6,0)</f>
        <v>400</v>
      </c>
      <c r="V17" t="s">
        <v>207</v>
      </c>
      <c r="W17" s="132"/>
      <c r="X17" s="132"/>
      <c r="Y17" t="s">
        <v>243</v>
      </c>
      <c r="Z17" s="189">
        <v>395.67</v>
      </c>
      <c r="AA17" s="148">
        <f t="shared" si="2"/>
        <v>4.329999999999984</v>
      </c>
    </row>
    <row r="18" ht="45.65" customHeight="1" hidden="1" spans="1:27" x14ac:dyDescent="0.25">
      <c r="A18" s="121">
        <f t="shared" si="5"/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4"/>
        <v>600</v>
      </c>
      <c r="U18" s="128">
        <f>VLOOKUP(B18:B75,[1]Sheet1!$E:$J,6,0)</f>
        <v>600</v>
      </c>
      <c r="V18" t="s">
        <v>207</v>
      </c>
      <c r="W18" s="132"/>
      <c r="X18" s="132"/>
      <c r="Y18" t="s">
        <v>243</v>
      </c>
      <c r="Z18" s="189">
        <v>600</v>
      </c>
      <c r="AA18" s="148">
        <f t="shared" si="2"/>
        <v>0</v>
      </c>
    </row>
    <row r="19" ht="45.65" customHeight="1" hidden="1" spans="1:27" x14ac:dyDescent="0.25">
      <c r="A19" s="121">
        <f t="shared" si="5"/>
        <v>14</v>
      </c>
      <c r="B19" s="122" t="s">
        <v>215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4"/>
        <v>300</v>
      </c>
      <c r="U19" s="128">
        <f>VLOOKUP(B19:B76,[1]Sheet1!$E:$J,6,0)</f>
        <v>300</v>
      </c>
      <c r="V19" t="s">
        <v>207</v>
      </c>
      <c r="W19" s="132"/>
      <c r="X19" s="132"/>
      <c r="Y19" t="s">
        <v>243</v>
      </c>
      <c r="Z19" s="189">
        <v>300</v>
      </c>
      <c r="AA19" s="148">
        <f t="shared" si="2"/>
        <v>0</v>
      </c>
    </row>
    <row r="20" ht="45.65" customHeight="1" hidden="1" spans="1:27" x14ac:dyDescent="0.25">
      <c r="A20" s="121">
        <f t="shared" si="5"/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4"/>
        <v>250</v>
      </c>
      <c r="U20" s="128">
        <f>VLOOKUP(B20:B77,[1]Sheet1!$E:$J,6,0)</f>
        <v>250</v>
      </c>
      <c r="V20" t="s">
        <v>207</v>
      </c>
      <c r="W20" s="133"/>
      <c r="X20" s="134"/>
      <c r="Y20" t="s">
        <v>243</v>
      </c>
      <c r="Z20" s="189">
        <v>250</v>
      </c>
      <c r="AA20" s="148">
        <f t="shared" si="2"/>
        <v>0</v>
      </c>
    </row>
    <row r="21" ht="45.65" customHeight="1" hidden="1" spans="1:27" x14ac:dyDescent="0.25">
      <c r="A21" s="121">
        <f t="shared" si="5"/>
        <v>16</v>
      </c>
      <c r="B21" s="122" t="s">
        <v>262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4"/>
        <v>100</v>
      </c>
      <c r="U21" s="128">
        <f>VLOOKUP(B21:B78,[1]Sheet1!$E:$J,6,0)</f>
        <v>100</v>
      </c>
      <c r="V21" t="s">
        <v>205</v>
      </c>
      <c r="W21" s="132"/>
      <c r="X21" s="132"/>
      <c r="Z21" s="189">
        <v>100</v>
      </c>
      <c r="AA21" s="148">
        <f t="shared" si="2"/>
        <v>0</v>
      </c>
    </row>
    <row r="22" ht="45.65" customHeight="1" spans="1:27" x14ac:dyDescent="0.25">
      <c r="A22" s="121">
        <f t="shared" si="5"/>
        <v>17</v>
      </c>
      <c r="B22" s="122" t="s">
        <v>263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4.95</v>
      </c>
      <c r="R22" s="126">
        <v>50</v>
      </c>
      <c r="S22" s="126">
        <v>0</v>
      </c>
      <c r="T22" s="127">
        <f t="shared" si="4"/>
        <v>395.05</v>
      </c>
      <c r="U22" s="128">
        <f>VLOOKUP(B22:B79,[1]Sheet1!$E:$J,6,0)</f>
        <v>395.05</v>
      </c>
      <c r="V22" t="s">
        <v>205</v>
      </c>
      <c r="W22" s="132"/>
      <c r="X22" s="132"/>
      <c r="Z22" s="189">
        <v>400</v>
      </c>
      <c r="AA22" s="148">
        <f t="shared" si="2"/>
        <v>-4.949999999999989</v>
      </c>
    </row>
    <row r="23" ht="45.65" customHeight="1" hidden="1" spans="1:27" x14ac:dyDescent="0.25">
      <c r="A23" s="121">
        <f t="shared" si="5"/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4"/>
        <v>300</v>
      </c>
      <c r="U23" s="128">
        <f>VLOOKUP(B23:B80,[1]Sheet1!$E:$J,6,0)</f>
        <v>300</v>
      </c>
      <c r="V23" t="s">
        <v>207</v>
      </c>
      <c r="W23" s="132"/>
      <c r="X23" s="132"/>
      <c r="Y23" t="s">
        <v>243</v>
      </c>
      <c r="Z23" s="189">
        <v>300</v>
      </c>
      <c r="AA23" s="148">
        <f t="shared" si="2"/>
        <v>0</v>
      </c>
    </row>
    <row r="24" ht="45.65" customHeight="1" hidden="1" spans="1:27" s="195" customFormat="1" x14ac:dyDescent="0.25">
      <c r="A24" s="196">
        <v>19</v>
      </c>
      <c r="B24" s="197" t="s">
        <v>264</v>
      </c>
      <c r="C24" s="153" t="s">
        <v>136</v>
      </c>
      <c r="D24" s="207" t="s">
        <v>109</v>
      </c>
      <c r="E24" s="207" t="s">
        <v>98</v>
      </c>
      <c r="F24" s="153" t="s">
        <v>137</v>
      </c>
      <c r="G24" s="197">
        <v>50</v>
      </c>
      <c r="H24" s="208">
        <v>0</v>
      </c>
      <c r="I24" s="208">
        <v>0</v>
      </c>
      <c r="J24" s="152">
        <f t="shared" si="0"/>
        <v>0</v>
      </c>
      <c r="K24" s="152">
        <v>0</v>
      </c>
      <c r="L24" s="152">
        <v>0</v>
      </c>
      <c r="M24" s="152">
        <v>0</v>
      </c>
      <c r="N24" s="152">
        <v>0</v>
      </c>
      <c r="O24" s="152">
        <f t="shared" si="1"/>
        <v>0</v>
      </c>
      <c r="P24" s="152">
        <v>0</v>
      </c>
      <c r="Q24" s="152">
        <v>0</v>
      </c>
      <c r="R24" s="152">
        <v>0</v>
      </c>
      <c r="S24" s="152">
        <v>0</v>
      </c>
      <c r="T24" s="209">
        <f t="shared" si="4"/>
        <v>0</v>
      </c>
      <c r="U24" s="204"/>
      <c r="V24" s="195" t="s">
        <v>205</v>
      </c>
      <c r="W24" s="204"/>
      <c r="X24" s="204"/>
      <c r="Z24" s="205">
        <v>50</v>
      </c>
      <c r="AA24" s="206">
        <f t="shared" si="2"/>
        <v>-50</v>
      </c>
    </row>
    <row r="25" ht="45.65" customHeight="1" hidden="1" spans="1:27" s="195" customFormat="1" x14ac:dyDescent="0.25">
      <c r="A25" s="121">
        <f t="shared" ref="A25:A34" si="6">A24+1</f>
        <v>20</v>
      </c>
      <c r="B25" s="122" t="s">
        <v>265</v>
      </c>
      <c r="C25" s="123" t="s">
        <v>266</v>
      </c>
      <c r="D25" s="124" t="s">
        <v>109</v>
      </c>
      <c r="E25" s="124" t="s">
        <v>98</v>
      </c>
      <c r="F25" s="123"/>
      <c r="G25" s="122">
        <v>50</v>
      </c>
      <c r="H25" s="210">
        <v>26</v>
      </c>
      <c r="I25" s="210">
        <v>0</v>
      </c>
      <c r="J25" s="151">
        <f t="shared" si="0"/>
        <v>50</v>
      </c>
      <c r="K25" s="151">
        <v>0</v>
      </c>
      <c r="L25" s="151">
        <v>0</v>
      </c>
      <c r="M25" s="151">
        <v>0</v>
      </c>
      <c r="N25" s="151">
        <v>0</v>
      </c>
      <c r="O25" s="151">
        <f t="shared" si="1"/>
        <v>50</v>
      </c>
      <c r="P25" s="151">
        <v>0</v>
      </c>
      <c r="Q25" s="151">
        <v>0</v>
      </c>
      <c r="R25" s="151">
        <v>0</v>
      </c>
      <c r="S25" s="151">
        <v>0</v>
      </c>
      <c r="T25" s="211">
        <f t="shared" si="4"/>
        <v>50</v>
      </c>
      <c r="U25" s="128">
        <f>VLOOKUP(B25:B82,[1]Sheet1!$E:$J,6,0)</f>
        <v>50</v>
      </c>
      <c r="W25" s="204"/>
      <c r="X25" s="204"/>
      <c r="Z25" s="205"/>
      <c r="AA25" s="206"/>
    </row>
    <row r="26" ht="45.65" customHeight="1" hidden="1" spans="1:29" x14ac:dyDescent="0.25">
      <c r="A26" s="121">
        <f t="shared" si="6"/>
        <v>21</v>
      </c>
      <c r="B26" s="122" t="s">
        <v>267</v>
      </c>
      <c r="C26" s="123" t="s">
        <v>138</v>
      </c>
      <c r="D26" s="124" t="s">
        <v>109</v>
      </c>
      <c r="E26" s="124" t="s">
        <v>98</v>
      </c>
      <c r="F26" s="123" t="s">
        <v>139</v>
      </c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4"/>
        <v>150</v>
      </c>
      <c r="U26" s="128">
        <f>VLOOKUP(B26:B83,[1]Sheet1!$E:$J,6,0)</f>
        <v>150</v>
      </c>
      <c r="V26" t="s">
        <v>205</v>
      </c>
      <c r="W26" s="132"/>
      <c r="X26" s="132"/>
      <c r="Z26" s="189">
        <v>147.12</v>
      </c>
      <c r="AA26" s="148">
        <f t="shared" si="2"/>
        <v>2.8799999999999955</v>
      </c>
      <c r="AC26">
        <f>150-147.116</f>
        <v>2.883999999999986</v>
      </c>
    </row>
    <row r="27" ht="45.65" customHeight="1" hidden="1" spans="1:27" x14ac:dyDescent="0.25">
      <c r="A27" s="121">
        <f t="shared" si="6"/>
        <v>22</v>
      </c>
      <c r="B27" s="122" t="s">
        <v>219</v>
      </c>
      <c r="C27" s="123" t="s">
        <v>220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4"/>
        <v>150</v>
      </c>
      <c r="U27" s="128">
        <f>VLOOKUP(B27:B84,[1]Sheet1!$E:$J,6,0)</f>
        <v>150</v>
      </c>
      <c r="V27" t="s">
        <v>207</v>
      </c>
      <c r="W27" s="132"/>
      <c r="X27" s="132"/>
      <c r="Y27" t="s">
        <v>243</v>
      </c>
      <c r="Z27" s="189">
        <v>150</v>
      </c>
      <c r="AA27" s="148">
        <f t="shared" si="2"/>
        <v>0</v>
      </c>
    </row>
    <row r="28" ht="45.65" customHeight="1" hidden="1" spans="1:27" x14ac:dyDescent="0.25">
      <c r="A28" s="121">
        <f t="shared" si="6"/>
        <v>23</v>
      </c>
      <c r="B28" s="122" t="s">
        <v>221</v>
      </c>
      <c r="C28" s="123" t="s">
        <v>222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4"/>
        <v>150</v>
      </c>
      <c r="U28" s="128">
        <f>VLOOKUP(B28:B85,[1]Sheet1!$E:$J,6,0)</f>
        <v>150</v>
      </c>
      <c r="V28" t="s">
        <v>207</v>
      </c>
      <c r="W28" s="132"/>
      <c r="X28" s="132"/>
      <c r="Y28" t="s">
        <v>243</v>
      </c>
      <c r="Z28" s="189">
        <v>150</v>
      </c>
      <c r="AA28" s="148">
        <f t="shared" si="2"/>
        <v>0</v>
      </c>
    </row>
    <row r="29" ht="45.65" customHeight="1" hidden="1" spans="1:27" x14ac:dyDescent="0.25">
      <c r="A29" s="121">
        <f t="shared" si="6"/>
        <v>24</v>
      </c>
      <c r="B29" s="122" t="s">
        <v>268</v>
      </c>
      <c r="C29" s="123" t="s">
        <v>143</v>
      </c>
      <c r="D29" s="124" t="s">
        <v>116</v>
      </c>
      <c r="E29" s="124" t="s">
        <v>98</v>
      </c>
      <c r="F29" s="123"/>
      <c r="G29" s="122">
        <v>100</v>
      </c>
      <c r="H29" s="125">
        <v>26</v>
      </c>
      <c r="I29" s="125">
        <v>0</v>
      </c>
      <c r="J29" s="126">
        <f t="shared" si="0"/>
        <v>100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100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4"/>
        <v>100</v>
      </c>
      <c r="U29" s="128">
        <f>VLOOKUP(B29:B86,[1]Sheet1!$E:$J,6,0)</f>
        <v>100</v>
      </c>
      <c r="V29" t="s">
        <v>205</v>
      </c>
      <c r="W29" s="132"/>
      <c r="X29" s="132"/>
      <c r="Z29" s="189">
        <v>100</v>
      </c>
      <c r="AA29" s="148">
        <f t="shared" si="2"/>
        <v>0</v>
      </c>
    </row>
    <row r="30" ht="45.65" customHeight="1" hidden="1" spans="1:27" x14ac:dyDescent="0.25">
      <c r="A30" s="121">
        <f t="shared" si="6"/>
        <v>25</v>
      </c>
      <c r="B30" s="122" t="s">
        <v>269</v>
      </c>
      <c r="C30" s="123" t="s">
        <v>144</v>
      </c>
      <c r="D30" s="124" t="s">
        <v>141</v>
      </c>
      <c r="E30" s="124" t="s">
        <v>98</v>
      </c>
      <c r="F30" s="123" t="s">
        <v>69</v>
      </c>
      <c r="G30" s="122">
        <v>80</v>
      </c>
      <c r="H30" s="125">
        <v>26</v>
      </c>
      <c r="I30" s="125">
        <v>0</v>
      </c>
      <c r="J30" s="126">
        <f t="shared" si="0"/>
        <v>80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80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4"/>
        <v>80</v>
      </c>
      <c r="U30" s="128">
        <f>VLOOKUP(B30:B87,[1]Sheet1!$E:$J,6,0)</f>
        <v>80</v>
      </c>
      <c r="V30" t="s">
        <v>205</v>
      </c>
      <c r="W30" s="132"/>
      <c r="X30" s="132"/>
      <c r="Z30" s="189">
        <v>80</v>
      </c>
      <c r="AA30" s="148">
        <f t="shared" si="2"/>
        <v>0</v>
      </c>
    </row>
    <row r="31" ht="45.65" customHeight="1" hidden="1" spans="1:27" x14ac:dyDescent="0.25">
      <c r="A31" s="121">
        <f t="shared" si="6"/>
        <v>26</v>
      </c>
      <c r="B31" s="122" t="s">
        <v>270</v>
      </c>
      <c r="C31" s="123" t="s">
        <v>145</v>
      </c>
      <c r="D31" s="124" t="s">
        <v>97</v>
      </c>
      <c r="E31" s="124" t="s">
        <v>146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4"/>
        <v>150</v>
      </c>
      <c r="U31" s="128">
        <f>VLOOKUP(B31:B88,[1]Sheet1!$E:$J,6,0)</f>
        <v>150</v>
      </c>
      <c r="V31" t="s">
        <v>205</v>
      </c>
      <c r="W31" s="132"/>
      <c r="X31" s="132"/>
      <c r="Z31" s="189">
        <v>150</v>
      </c>
      <c r="AA31" s="148">
        <f t="shared" si="2"/>
        <v>0</v>
      </c>
    </row>
    <row r="32" ht="45.65" customHeight="1" hidden="1" spans="1:27" x14ac:dyDescent="0.25">
      <c r="A32" s="121">
        <f t="shared" si="6"/>
        <v>27</v>
      </c>
      <c r="B32" s="122" t="s">
        <v>223</v>
      </c>
      <c r="C32" s="123" t="s">
        <v>224</v>
      </c>
      <c r="D32" s="124" t="s">
        <v>141</v>
      </c>
      <c r="E32" s="124" t="s">
        <v>110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150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4"/>
        <v>150</v>
      </c>
      <c r="U32" s="128">
        <f>VLOOKUP(B32:B89,[1]Sheet1!$E:$J,6,0)</f>
        <v>150</v>
      </c>
      <c r="V32" t="s">
        <v>207</v>
      </c>
      <c r="W32" s="132"/>
      <c r="X32" s="132"/>
      <c r="Y32" t="s">
        <v>243</v>
      </c>
      <c r="Z32" s="189">
        <v>150</v>
      </c>
      <c r="AA32" s="148">
        <f t="shared" si="2"/>
        <v>0</v>
      </c>
    </row>
    <row r="33" ht="45.65" customHeight="1" hidden="1" spans="1:27" x14ac:dyDescent="0.25">
      <c r="A33" s="121">
        <f t="shared" si="6"/>
        <v>28</v>
      </c>
      <c r="B33" s="122" t="s">
        <v>271</v>
      </c>
      <c r="C33" s="123" t="s">
        <v>148</v>
      </c>
      <c r="D33" s="124" t="s">
        <v>116</v>
      </c>
      <c r="E33" s="124" t="s">
        <v>110</v>
      </c>
      <c r="F33" s="123"/>
      <c r="G33" s="122">
        <v>200</v>
      </c>
      <c r="H33" s="125">
        <v>26</v>
      </c>
      <c r="I33" s="125">
        <v>0</v>
      </c>
      <c r="J33" s="126">
        <f t="shared" si="0"/>
        <v>200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200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4"/>
        <v>200</v>
      </c>
      <c r="U33" s="128">
        <f>VLOOKUP(B33:B90,[1]Sheet1!$E:$J,6,0)</f>
        <v>200</v>
      </c>
      <c r="V33" t="s">
        <v>205</v>
      </c>
      <c r="W33" s="132"/>
      <c r="X33" s="132"/>
      <c r="Z33" s="189">
        <v>200</v>
      </c>
      <c r="AA33" s="148">
        <f t="shared" si="2"/>
        <v>0</v>
      </c>
    </row>
    <row r="34" ht="45.65" customHeight="1" hidden="1" spans="1:27" x14ac:dyDescent="0.25">
      <c r="A34" s="121">
        <f t="shared" si="6"/>
        <v>29</v>
      </c>
      <c r="B34" s="122" t="s">
        <v>272</v>
      </c>
      <c r="C34" s="123" t="s">
        <v>149</v>
      </c>
      <c r="D34" s="124" t="s">
        <v>116</v>
      </c>
      <c r="E34" s="124" t="s">
        <v>98</v>
      </c>
      <c r="F34" s="123"/>
      <c r="G34" s="122">
        <v>250</v>
      </c>
      <c r="H34" s="125">
        <v>26</v>
      </c>
      <c r="I34" s="125">
        <v>0</v>
      </c>
      <c r="J34" s="126">
        <f t="shared" si="0"/>
        <v>250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250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4"/>
        <v>250</v>
      </c>
      <c r="U34" s="128">
        <f>VLOOKUP(B34:B91,[1]Sheet1!$E:$J,6,0)</f>
        <v>250</v>
      </c>
      <c r="V34" t="s">
        <v>205</v>
      </c>
      <c r="W34" s="132"/>
      <c r="X34" s="134"/>
      <c r="Z34" s="189">
        <v>250</v>
      </c>
      <c r="AA34" s="148">
        <f t="shared" si="2"/>
        <v>0</v>
      </c>
    </row>
    <row r="35" ht="45.65" customHeight="1" hidden="1" spans="1:27" x14ac:dyDescent="0.25">
      <c r="A35" s="121">
        <v>29</v>
      </c>
      <c r="B35" s="192" t="s">
        <v>225</v>
      </c>
      <c r="C35" s="190" t="s">
        <v>189</v>
      </c>
      <c r="D35" s="191" t="s">
        <v>97</v>
      </c>
      <c r="E35" s="191" t="s">
        <v>98</v>
      </c>
      <c r="F35" s="190" t="s">
        <v>151</v>
      </c>
      <c r="G35" s="192">
        <v>384.23</v>
      </c>
      <c r="H35" s="193">
        <v>0</v>
      </c>
      <c r="I35" s="193">
        <v>0</v>
      </c>
      <c r="J35" s="150">
        <f t="shared" si="0"/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f t="shared" si="1"/>
        <v>0</v>
      </c>
      <c r="P35" s="150">
        <v>0</v>
      </c>
      <c r="Q35" s="150">
        <v>0</v>
      </c>
      <c r="R35" s="150">
        <v>0</v>
      </c>
      <c r="S35" s="150">
        <v>0</v>
      </c>
      <c r="T35" s="194">
        <f t="shared" si="4"/>
        <v>0</v>
      </c>
      <c r="U35" s="132"/>
      <c r="V35" t="s">
        <v>207</v>
      </c>
      <c r="W35" s="132"/>
      <c r="X35" s="132"/>
      <c r="Y35" t="s">
        <v>243</v>
      </c>
      <c r="Z35" s="189">
        <v>0</v>
      </c>
      <c r="AA35" s="148">
        <f t="shared" si="2"/>
        <v>0</v>
      </c>
    </row>
    <row r="36" ht="45.65" customHeight="1" hidden="1" spans="1:27" x14ac:dyDescent="0.25">
      <c r="A36" s="121">
        <f t="shared" ref="A36:A44" si="7">A35+1</f>
        <v>30</v>
      </c>
      <c r="B36" s="122" t="s">
        <v>226</v>
      </c>
      <c r="C36" s="123" t="s">
        <v>152</v>
      </c>
      <c r="D36" s="124" t="s">
        <v>97</v>
      </c>
      <c r="E36" s="124" t="s">
        <v>98</v>
      </c>
      <c r="F36" s="123" t="s">
        <v>153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4"/>
        <v>270</v>
      </c>
      <c r="U36" s="128">
        <f>VLOOKUP(B36:B93,[1]Sheet1!$E:$J,6,0)</f>
        <v>270</v>
      </c>
      <c r="V36" t="s">
        <v>207</v>
      </c>
      <c r="W36" s="132"/>
      <c r="X36" s="132"/>
      <c r="Y36" t="s">
        <v>243</v>
      </c>
      <c r="Z36" s="189">
        <v>270</v>
      </c>
      <c r="AA36" s="148">
        <f t="shared" si="2"/>
        <v>0</v>
      </c>
    </row>
    <row r="37" ht="45.65" customHeight="1" hidden="1" spans="1:27" x14ac:dyDescent="0.25">
      <c r="A37" s="121">
        <f t="shared" si="7"/>
        <v>31</v>
      </c>
      <c r="B37" s="122" t="s">
        <v>273</v>
      </c>
      <c r="C37" s="123" t="s">
        <v>246</v>
      </c>
      <c r="D37" s="124" t="s">
        <v>100</v>
      </c>
      <c r="E37" s="124" t="s">
        <v>98</v>
      </c>
      <c r="F37" s="123"/>
      <c r="G37" s="122">
        <v>280</v>
      </c>
      <c r="H37" s="125">
        <v>26</v>
      </c>
      <c r="I37" s="125">
        <v>0</v>
      </c>
      <c r="J37" s="126">
        <f t="shared" si="0"/>
        <v>280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280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4"/>
        <v>280</v>
      </c>
      <c r="U37" s="128">
        <f>VLOOKUP(B37:B94,[1]Sheet1!$E:$J,6,0)</f>
        <v>280</v>
      </c>
      <c r="V37" t="s">
        <v>205</v>
      </c>
      <c r="W37" s="132"/>
      <c r="X37" s="132"/>
      <c r="Z37" s="189">
        <v>280</v>
      </c>
      <c r="AA37" s="148">
        <f t="shared" si="2"/>
        <v>0</v>
      </c>
    </row>
    <row r="38" ht="45.65" customHeight="1" hidden="1" spans="1:27" x14ac:dyDescent="0.25">
      <c r="A38" s="121">
        <f t="shared" si="7"/>
        <v>32</v>
      </c>
      <c r="B38" s="129" t="s">
        <v>274</v>
      </c>
      <c r="C38" s="130" t="s">
        <v>155</v>
      </c>
      <c r="D38" s="124" t="s">
        <v>97</v>
      </c>
      <c r="E38" s="124" t="s">
        <v>156</v>
      </c>
      <c r="F38" s="130" t="s">
        <v>157</v>
      </c>
      <c r="G38" s="129">
        <v>200</v>
      </c>
      <c r="H38" s="125">
        <v>0</v>
      </c>
      <c r="I38" s="125">
        <v>0</v>
      </c>
      <c r="J38" s="126">
        <f t="shared" si="0"/>
        <v>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4"/>
        <v>0</v>
      </c>
      <c r="U38" s="132"/>
      <c r="V38" t="s">
        <v>205</v>
      </c>
      <c r="W38" s="132"/>
      <c r="X38" s="132"/>
      <c r="Z38" s="189">
        <v>0</v>
      </c>
      <c r="AA38" s="148">
        <f t="shared" si="2"/>
        <v>0</v>
      </c>
    </row>
    <row r="39" ht="45.65" customHeight="1" hidden="1" spans="1:27" x14ac:dyDescent="0.25">
      <c r="A39" s="121">
        <f t="shared" si="7"/>
        <v>33</v>
      </c>
      <c r="B39" s="122" t="s">
        <v>227</v>
      </c>
      <c r="C39" s="123" t="s">
        <v>191</v>
      </c>
      <c r="D39" s="124" t="s">
        <v>97</v>
      </c>
      <c r="E39" s="124" t="s">
        <v>98</v>
      </c>
      <c r="F39" s="123"/>
      <c r="G39" s="122">
        <v>600</v>
      </c>
      <c r="H39" s="125">
        <v>26</v>
      </c>
      <c r="I39" s="125">
        <v>0</v>
      </c>
      <c r="J39" s="126">
        <f t="shared" si="0"/>
        <v>600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600</v>
      </c>
      <c r="P39" s="126">
        <v>0</v>
      </c>
      <c r="Q39" s="151">
        <v>0</v>
      </c>
      <c r="R39" s="126">
        <v>0</v>
      </c>
      <c r="S39" s="152">
        <v>200</v>
      </c>
      <c r="T39" s="127">
        <f t="shared" si="4"/>
        <v>400</v>
      </c>
      <c r="U39" s="128" t="str">
        <f>VLOOKUP(B39:B96,[1]Sheet1!$E:$J,6,0)</f>
        <v>bec</v>
      </c>
      <c r="V39" t="s">
        <v>207</v>
      </c>
      <c r="W39" s="132">
        <v>600</v>
      </c>
      <c r="X39" s="134">
        <v>-200</v>
      </c>
      <c r="Y39" t="s">
        <v>243</v>
      </c>
      <c r="Z39" s="189">
        <v>600</v>
      </c>
      <c r="AA39" s="148">
        <f t="shared" si="2"/>
        <v>-200</v>
      </c>
    </row>
    <row r="40" ht="45.65" customHeight="1" spans="1:27" x14ac:dyDescent="0.25">
      <c r="A40" s="121">
        <f t="shared" si="7"/>
        <v>34</v>
      </c>
      <c r="B40" s="122" t="s">
        <v>228</v>
      </c>
      <c r="C40" s="123" t="s">
        <v>247</v>
      </c>
      <c r="D40" s="124" t="s">
        <v>97</v>
      </c>
      <c r="E40" s="124" t="s">
        <v>156</v>
      </c>
      <c r="F40" s="123" t="s">
        <v>160</v>
      </c>
      <c r="G40" s="122">
        <v>450</v>
      </c>
      <c r="H40" s="210">
        <v>26</v>
      </c>
      <c r="I40" s="210">
        <v>0</v>
      </c>
      <c r="J40" s="151">
        <f t="shared" si="0"/>
        <v>450</v>
      </c>
      <c r="K40" s="151">
        <v>0</v>
      </c>
      <c r="L40" s="151">
        <v>0</v>
      </c>
      <c r="M40" s="151">
        <v>0</v>
      </c>
      <c r="N40" s="151">
        <v>0</v>
      </c>
      <c r="O40" s="151">
        <f t="shared" si="1"/>
        <v>450</v>
      </c>
      <c r="P40" s="151">
        <v>0</v>
      </c>
      <c r="Q40" s="151">
        <v>5.77</v>
      </c>
      <c r="R40" s="151">
        <v>0</v>
      </c>
      <c r="S40" s="151">
        <v>0</v>
      </c>
      <c r="T40" s="211">
        <f t="shared" si="4"/>
        <v>444.23</v>
      </c>
      <c r="U40" s="128" t="str">
        <f>VLOOKUP(B40:B97,[1]Sheet1!$E:$J,6,0)</f>
        <v>bec</v>
      </c>
      <c r="V40" t="s">
        <v>207</v>
      </c>
      <c r="W40" s="132"/>
      <c r="X40" s="132"/>
      <c r="Y40" t="s">
        <v>243</v>
      </c>
      <c r="Z40" s="189">
        <v>103.85</v>
      </c>
      <c r="AA40" s="148">
        <f t="shared" si="2"/>
        <v>340.38</v>
      </c>
    </row>
    <row r="41" ht="45.65" customHeight="1" spans="1:27" x14ac:dyDescent="0.25">
      <c r="A41" s="121">
        <f t="shared" si="7"/>
        <v>35</v>
      </c>
      <c r="B41" s="122" t="s">
        <v>229</v>
      </c>
      <c r="C41" s="123" t="s">
        <v>161</v>
      </c>
      <c r="D41" s="124" t="s">
        <v>97</v>
      </c>
      <c r="E41" s="124" t="s">
        <v>156</v>
      </c>
      <c r="F41" s="123" t="s">
        <v>162</v>
      </c>
      <c r="G41" s="122">
        <v>550</v>
      </c>
      <c r="H41" s="125">
        <v>26</v>
      </c>
      <c r="I41" s="125">
        <v>0</v>
      </c>
      <c r="J41" s="126">
        <f t="shared" si="0"/>
        <v>550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550</v>
      </c>
      <c r="P41" s="126">
        <v>0</v>
      </c>
      <c r="Q41" s="126">
        <v>3.53</v>
      </c>
      <c r="R41" s="126">
        <v>0</v>
      </c>
      <c r="S41" s="126">
        <v>0</v>
      </c>
      <c r="T41" s="127">
        <f t="shared" si="4"/>
        <v>546.47</v>
      </c>
      <c r="U41" s="128">
        <f>VLOOKUP(B41:B98,[1]Sheet1!$E:$J,6,0)</f>
        <v>546.47</v>
      </c>
      <c r="V41" t="s">
        <v>207</v>
      </c>
      <c r="W41" s="132"/>
      <c r="X41" s="132"/>
      <c r="Y41" t="s">
        <v>243</v>
      </c>
      <c r="Z41" s="189">
        <v>550</v>
      </c>
      <c r="AA41" s="148">
        <f t="shared" si="2"/>
        <v>-3.5299999999999727</v>
      </c>
    </row>
    <row r="42" ht="45.65" customHeight="1" spans="1:27" x14ac:dyDescent="0.25">
      <c r="A42" s="121">
        <f t="shared" si="7"/>
        <v>36</v>
      </c>
      <c r="B42" s="122" t="s">
        <v>230</v>
      </c>
      <c r="C42" s="123" t="s">
        <v>163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60.58</v>
      </c>
      <c r="R42" s="126">
        <v>0</v>
      </c>
      <c r="S42" s="126">
        <v>0</v>
      </c>
      <c r="T42" s="127">
        <f t="shared" si="4"/>
        <v>389.42</v>
      </c>
      <c r="U42" s="128">
        <f>VLOOKUP(B42:B99,[1]Sheet1!$E:$J,6,0)</f>
        <v>389.42</v>
      </c>
      <c r="V42" t="s">
        <v>207</v>
      </c>
      <c r="W42" s="132"/>
      <c r="X42" s="132"/>
      <c r="Y42" t="s">
        <v>243</v>
      </c>
      <c r="Z42" s="189">
        <v>448.08</v>
      </c>
      <c r="AA42" s="148">
        <f t="shared" si="2"/>
        <v>-58.65999999999997</v>
      </c>
    </row>
    <row r="43" ht="45.65" customHeight="1" hidden="1" spans="1:27" x14ac:dyDescent="0.25">
      <c r="A43" s="121">
        <f t="shared" si="7"/>
        <v>37</v>
      </c>
      <c r="B43" s="122" t="s">
        <v>231</v>
      </c>
      <c r="C43" s="123" t="s">
        <v>165</v>
      </c>
      <c r="D43" s="124" t="s">
        <v>97</v>
      </c>
      <c r="E43" s="124" t="s">
        <v>156</v>
      </c>
      <c r="F43" s="123" t="s">
        <v>164</v>
      </c>
      <c r="G43" s="122">
        <v>450</v>
      </c>
      <c r="H43" s="125">
        <v>26</v>
      </c>
      <c r="I43" s="125">
        <v>0</v>
      </c>
      <c r="J43" s="126">
        <f t="shared" si="0"/>
        <v>450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450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4"/>
        <v>450</v>
      </c>
      <c r="U43" s="128">
        <f>VLOOKUP(B43:B100,[1]Sheet1!$E:$J,6,0)</f>
        <v>450</v>
      </c>
      <c r="V43" t="s">
        <v>207</v>
      </c>
      <c r="W43" s="132"/>
      <c r="X43" s="132"/>
      <c r="Y43" t="s">
        <v>243</v>
      </c>
      <c r="Z43" s="189">
        <v>450</v>
      </c>
      <c r="AA43" s="148">
        <f t="shared" si="2"/>
        <v>0</v>
      </c>
    </row>
    <row r="44" ht="45.65" customHeight="1" hidden="1" spans="1:27" x14ac:dyDescent="0.25">
      <c r="A44" s="121">
        <f t="shared" si="7"/>
        <v>38</v>
      </c>
      <c r="B44" s="122" t="s">
        <v>233</v>
      </c>
      <c r="C44" s="123" t="s">
        <v>166</v>
      </c>
      <c r="D44" s="124" t="s">
        <v>100</v>
      </c>
      <c r="E44" s="124" t="s">
        <v>98</v>
      </c>
      <c r="F44" s="123" t="s">
        <v>167</v>
      </c>
      <c r="G44" s="122">
        <v>260</v>
      </c>
      <c r="H44" s="125">
        <v>26</v>
      </c>
      <c r="I44" s="125">
        <v>0</v>
      </c>
      <c r="J44" s="126">
        <f t="shared" si="0"/>
        <v>260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260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4"/>
        <v>260</v>
      </c>
      <c r="U44" s="128">
        <f>VLOOKUP(B44:B101,[1]Sheet1!$E:$J,6,0)</f>
        <v>260</v>
      </c>
      <c r="V44" t="s">
        <v>207</v>
      </c>
      <c r="W44" s="132"/>
      <c r="X44" s="132"/>
      <c r="Y44" t="s">
        <v>243</v>
      </c>
      <c r="Z44" s="189">
        <v>260</v>
      </c>
      <c r="AA44" s="148">
        <f t="shared" si="2"/>
        <v>0</v>
      </c>
    </row>
    <row r="45" ht="45.65" customHeight="1" hidden="1" spans="1:27" x14ac:dyDescent="0.25">
      <c r="A45" s="121">
        <v>39</v>
      </c>
      <c r="B45" s="192" t="s">
        <v>275</v>
      </c>
      <c r="C45" s="190" t="s">
        <v>175</v>
      </c>
      <c r="D45" s="191" t="s">
        <v>97</v>
      </c>
      <c r="E45" s="191" t="s">
        <v>98</v>
      </c>
      <c r="F45" s="190" t="s">
        <v>59</v>
      </c>
      <c r="G45" s="192">
        <v>120</v>
      </c>
      <c r="H45" s="193">
        <v>0</v>
      </c>
      <c r="I45" s="193">
        <v>0</v>
      </c>
      <c r="J45" s="150">
        <f t="shared" si="0"/>
        <v>0</v>
      </c>
      <c r="K45" s="150">
        <v>0</v>
      </c>
      <c r="L45" s="150">
        <v>0</v>
      </c>
      <c r="M45" s="150">
        <v>0</v>
      </c>
      <c r="N45" s="150">
        <v>0</v>
      </c>
      <c r="O45" s="150">
        <f t="shared" si="1"/>
        <v>0</v>
      </c>
      <c r="P45" s="150">
        <v>0</v>
      </c>
      <c r="Q45" s="150">
        <v>0</v>
      </c>
      <c r="R45" s="150">
        <v>0</v>
      </c>
      <c r="S45" s="150">
        <v>0</v>
      </c>
      <c r="T45" s="194">
        <f t="shared" si="4"/>
        <v>0</v>
      </c>
      <c r="U45" s="132"/>
      <c r="V45" t="s">
        <v>205</v>
      </c>
      <c r="W45" s="132"/>
      <c r="X45" s="132"/>
      <c r="Z45" s="189">
        <v>76.92</v>
      </c>
      <c r="AA45" s="148">
        <f t="shared" si="2"/>
        <v>-76.92</v>
      </c>
    </row>
    <row r="46" ht="45.65" customHeight="1" hidden="1" spans="1:27" x14ac:dyDescent="0.25">
      <c r="A46" s="121">
        <f t="shared" ref="A46:A63" si="8">A45+1</f>
        <v>40</v>
      </c>
      <c r="B46" s="129" t="s">
        <v>349</v>
      </c>
      <c r="C46" s="130" t="s">
        <v>248</v>
      </c>
      <c r="D46" s="124" t="s">
        <v>97</v>
      </c>
      <c r="E46" s="124" t="s">
        <v>98</v>
      </c>
      <c r="F46" s="130"/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4"/>
        <v>80</v>
      </c>
      <c r="U46" s="128" t="str">
        <f>VLOOKUP(B46:B103,[1]Sheet1!$E:$J,6,0)</f>
        <v>bec</v>
      </c>
      <c r="W46" s="132"/>
      <c r="X46" s="132"/>
      <c r="Z46" s="189">
        <v>120</v>
      </c>
      <c r="AA46" s="148">
        <f t="shared" si="2"/>
        <v>-40</v>
      </c>
    </row>
    <row r="47" ht="45.65" customHeight="1" hidden="1" spans="1:27" x14ac:dyDescent="0.25">
      <c r="A47" s="121">
        <f t="shared" si="8"/>
        <v>41</v>
      </c>
      <c r="B47" s="122" t="s">
        <v>277</v>
      </c>
      <c r="C47" s="190" t="s">
        <v>176</v>
      </c>
      <c r="D47" s="191" t="s">
        <v>177</v>
      </c>
      <c r="E47" s="191" t="s">
        <v>98</v>
      </c>
      <c r="F47" s="190" t="s">
        <v>178</v>
      </c>
      <c r="G47" s="192">
        <v>120</v>
      </c>
      <c r="H47" s="193">
        <v>0</v>
      </c>
      <c r="I47" s="193">
        <v>0</v>
      </c>
      <c r="J47" s="150">
        <f t="shared" si="0"/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f t="shared" si="1"/>
        <v>0</v>
      </c>
      <c r="P47" s="150">
        <v>0</v>
      </c>
      <c r="Q47" s="150">
        <v>0</v>
      </c>
      <c r="R47" s="150">
        <v>0</v>
      </c>
      <c r="S47" s="150">
        <v>0</v>
      </c>
      <c r="T47" s="194">
        <f t="shared" si="4"/>
        <v>0</v>
      </c>
      <c r="U47" s="132"/>
      <c r="V47" t="s">
        <v>205</v>
      </c>
      <c r="W47" s="132"/>
      <c r="X47" s="134"/>
      <c r="Z47" s="189">
        <v>80</v>
      </c>
      <c r="AA47" s="148">
        <f t="shared" si="2"/>
        <v>-80</v>
      </c>
    </row>
    <row r="48" ht="45.65" customHeight="1" hidden="1" spans="1:27" x14ac:dyDescent="0.25">
      <c r="A48" s="121">
        <f t="shared" si="8"/>
        <v>42</v>
      </c>
      <c r="B48" s="122" t="s">
        <v>278</v>
      </c>
      <c r="C48" s="190" t="s">
        <v>249</v>
      </c>
      <c r="D48" s="191" t="s">
        <v>177</v>
      </c>
      <c r="E48" s="191" t="s">
        <v>98</v>
      </c>
      <c r="F48" s="190" t="s">
        <v>180</v>
      </c>
      <c r="G48" s="192">
        <v>80</v>
      </c>
      <c r="H48" s="193">
        <v>0</v>
      </c>
      <c r="I48" s="193">
        <v>0</v>
      </c>
      <c r="J48" s="150">
        <f t="shared" si="0"/>
        <v>0</v>
      </c>
      <c r="K48" s="150">
        <v>0</v>
      </c>
      <c r="L48" s="150">
        <v>0</v>
      </c>
      <c r="M48" s="150">
        <v>0</v>
      </c>
      <c r="N48" s="150">
        <v>0</v>
      </c>
      <c r="O48" s="150">
        <f t="shared" si="1"/>
        <v>0</v>
      </c>
      <c r="P48" s="150">
        <v>0</v>
      </c>
      <c r="Q48" s="150">
        <v>0</v>
      </c>
      <c r="R48" s="150">
        <v>0</v>
      </c>
      <c r="S48" s="150">
        <v>0</v>
      </c>
      <c r="T48" s="194">
        <f t="shared" si="4"/>
        <v>0</v>
      </c>
      <c r="U48" s="132"/>
      <c r="V48" t="s">
        <v>205</v>
      </c>
      <c r="W48" s="132"/>
      <c r="X48" s="134"/>
      <c r="Z48" s="189">
        <v>240</v>
      </c>
      <c r="AA48" s="148">
        <f t="shared" si="2"/>
        <v>-240</v>
      </c>
    </row>
    <row r="49" ht="45.65" customHeight="1" spans="1:27" x14ac:dyDescent="0.25">
      <c r="A49" s="121">
        <f t="shared" si="8"/>
        <v>43</v>
      </c>
      <c r="B49" s="122" t="s">
        <v>279</v>
      </c>
      <c r="C49" s="123" t="s">
        <v>181</v>
      </c>
      <c r="D49" s="124" t="s">
        <v>177</v>
      </c>
      <c r="E49" s="124" t="s">
        <v>98</v>
      </c>
      <c r="F49" s="123" t="s">
        <v>178</v>
      </c>
      <c r="G49" s="122">
        <v>240</v>
      </c>
      <c r="H49" s="125">
        <v>26</v>
      </c>
      <c r="I49" s="125">
        <v>0</v>
      </c>
      <c r="J49" s="126">
        <f t="shared" si="0"/>
        <v>239.99999999999997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239.99999999999997</v>
      </c>
      <c r="P49" s="126">
        <v>0</v>
      </c>
      <c r="Q49" s="126">
        <v>8.08</v>
      </c>
      <c r="R49" s="126">
        <v>0</v>
      </c>
      <c r="S49" s="126">
        <v>0</v>
      </c>
      <c r="T49" s="127">
        <f t="shared" si="4"/>
        <v>231.91999999999996</v>
      </c>
      <c r="U49" s="128">
        <f>VLOOKUP(B49:B106,[1]Sheet1!$E:$J,6,0)</f>
        <v>231.91999999999996</v>
      </c>
      <c r="V49" t="s">
        <v>205</v>
      </c>
      <c r="W49" s="132"/>
      <c r="X49" s="134"/>
      <c r="Z49" s="189">
        <v>120</v>
      </c>
      <c r="AA49" s="148">
        <f t="shared" si="2"/>
        <v>111.91999999999996</v>
      </c>
    </row>
    <row r="50" ht="45.65" customHeight="1" spans="1:27" x14ac:dyDescent="0.25">
      <c r="A50" s="121">
        <f t="shared" si="8"/>
        <v>44</v>
      </c>
      <c r="B50" s="122" t="s">
        <v>280</v>
      </c>
      <c r="C50" s="123" t="s">
        <v>192</v>
      </c>
      <c r="D50" s="124" t="s">
        <v>177</v>
      </c>
      <c r="E50" s="124" t="s">
        <v>98</v>
      </c>
      <c r="F50" s="123" t="s">
        <v>178</v>
      </c>
      <c r="G50" s="122">
        <v>120</v>
      </c>
      <c r="H50" s="125">
        <v>26</v>
      </c>
      <c r="I50" s="125">
        <v>0</v>
      </c>
      <c r="J50" s="126">
        <f t="shared" si="0"/>
        <v>119.99999999999999</v>
      </c>
      <c r="K50" s="126">
        <v>0</v>
      </c>
      <c r="L50" s="126">
        <v>50.77</v>
      </c>
      <c r="M50" s="126">
        <v>0</v>
      </c>
      <c r="N50" s="126">
        <v>0</v>
      </c>
      <c r="O50" s="126">
        <f t="shared" si="1"/>
        <v>170.76999999999998</v>
      </c>
      <c r="P50" s="126">
        <v>0</v>
      </c>
      <c r="Q50" s="126">
        <v>5.77</v>
      </c>
      <c r="R50" s="126">
        <v>0</v>
      </c>
      <c r="S50" s="126">
        <v>0</v>
      </c>
      <c r="T50" s="127">
        <f t="shared" si="4"/>
        <v>164.99999999999997</v>
      </c>
      <c r="U50" s="128">
        <f>VLOOKUP(B50:B107,[1]Sheet1!$E:$J,6,0)</f>
        <v>164.99999999999997</v>
      </c>
      <c r="V50" t="s">
        <v>205</v>
      </c>
      <c r="W50" s="132"/>
      <c r="X50" s="134"/>
      <c r="Z50" s="189">
        <v>100</v>
      </c>
      <c r="AA50" s="148">
        <f t="shared" si="2"/>
        <v>64.99999999999997</v>
      </c>
    </row>
    <row r="51" ht="45.65" customHeight="1" hidden="1" spans="1:27" x14ac:dyDescent="0.25">
      <c r="A51" s="121">
        <f t="shared" si="8"/>
        <v>45</v>
      </c>
      <c r="B51" s="122" t="s">
        <v>281</v>
      </c>
      <c r="C51" s="171" t="s">
        <v>193</v>
      </c>
      <c r="D51" s="172" t="s">
        <v>177</v>
      </c>
      <c r="E51" s="124" t="s">
        <v>98</v>
      </c>
      <c r="F51" s="171" t="s">
        <v>194</v>
      </c>
      <c r="G51" s="170">
        <v>100</v>
      </c>
      <c r="H51" s="173">
        <v>26</v>
      </c>
      <c r="I51" s="173">
        <v>0</v>
      </c>
      <c r="J51" s="174">
        <f t="shared" si="0"/>
        <v>100</v>
      </c>
      <c r="K51" s="174">
        <v>0</v>
      </c>
      <c r="L51" s="174">
        <v>0</v>
      </c>
      <c r="M51" s="174">
        <v>0</v>
      </c>
      <c r="N51" s="174">
        <v>0</v>
      </c>
      <c r="O51" s="174">
        <f t="shared" si="1"/>
        <v>100</v>
      </c>
      <c r="P51" s="174">
        <v>0</v>
      </c>
      <c r="Q51" s="174">
        <v>0</v>
      </c>
      <c r="R51" s="174">
        <v>0</v>
      </c>
      <c r="S51" s="174">
        <v>0</v>
      </c>
      <c r="T51" s="175">
        <f t="shared" si="4"/>
        <v>100</v>
      </c>
      <c r="U51" s="128">
        <f>VLOOKUP(B51:B108,[1]Sheet1!$E:$J,6,0)</f>
        <v>100</v>
      </c>
      <c r="V51" t="s">
        <v>205</v>
      </c>
      <c r="W51" s="132"/>
      <c r="X51" s="134"/>
      <c r="Z51" s="189">
        <v>250</v>
      </c>
      <c r="AA51" s="148">
        <f t="shared" si="2"/>
        <v>-150</v>
      </c>
    </row>
    <row r="52" ht="45.65" customHeight="1" hidden="1" spans="1:27" x14ac:dyDescent="0.25">
      <c r="A52" s="121">
        <f t="shared" si="8"/>
        <v>46</v>
      </c>
      <c r="B52" s="122" t="s">
        <v>282</v>
      </c>
      <c r="C52" s="178" t="s">
        <v>195</v>
      </c>
      <c r="D52" s="179" t="s">
        <v>109</v>
      </c>
      <c r="E52" s="124" t="s">
        <v>98</v>
      </c>
      <c r="F52" s="178" t="s">
        <v>196</v>
      </c>
      <c r="G52" s="177">
        <v>250</v>
      </c>
      <c r="H52" s="180">
        <v>26</v>
      </c>
      <c r="I52" s="180">
        <v>0</v>
      </c>
      <c r="J52" s="181">
        <f t="shared" si="0"/>
        <v>250</v>
      </c>
      <c r="K52" s="181">
        <v>0</v>
      </c>
      <c r="L52" s="181">
        <v>0</v>
      </c>
      <c r="M52" s="181">
        <v>0</v>
      </c>
      <c r="N52" s="181">
        <v>0</v>
      </c>
      <c r="O52" s="181">
        <f t="shared" si="1"/>
        <v>250</v>
      </c>
      <c r="P52" s="181">
        <v>0</v>
      </c>
      <c r="Q52" s="181">
        <v>0</v>
      </c>
      <c r="R52" s="181">
        <v>0</v>
      </c>
      <c r="S52" s="181">
        <v>0</v>
      </c>
      <c r="T52" s="182">
        <f t="shared" si="4"/>
        <v>250</v>
      </c>
      <c r="U52" s="128">
        <f>VLOOKUP(B52:B109,[1]Sheet1!$E:$J,6,0)</f>
        <v>250</v>
      </c>
      <c r="V52" t="s">
        <v>205</v>
      </c>
      <c r="W52" s="132"/>
      <c r="X52" s="134"/>
      <c r="Z52" s="189">
        <v>120</v>
      </c>
      <c r="AA52" s="148">
        <f t="shared" si="2"/>
        <v>130</v>
      </c>
    </row>
    <row r="53" ht="45.65" customHeight="1" hidden="1" spans="1:27" x14ac:dyDescent="0.25">
      <c r="A53" s="121">
        <f t="shared" si="8"/>
        <v>47</v>
      </c>
      <c r="B53" s="122" t="s">
        <v>283</v>
      </c>
      <c r="C53" s="155" t="s">
        <v>197</v>
      </c>
      <c r="D53" s="154" t="s">
        <v>177</v>
      </c>
      <c r="E53" s="124" t="s">
        <v>98</v>
      </c>
      <c r="F53" s="155" t="s">
        <v>198</v>
      </c>
      <c r="G53" s="157">
        <v>100</v>
      </c>
      <c r="H53" s="125">
        <v>26</v>
      </c>
      <c r="I53" s="125">
        <v>0</v>
      </c>
      <c r="J53" s="126">
        <f t="shared" si="0"/>
        <v>100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100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4"/>
        <v>100</v>
      </c>
      <c r="U53" s="128">
        <f>VLOOKUP(B53:B110,[1]Sheet1!$E:$J,6,0)</f>
        <v>100</v>
      </c>
      <c r="V53" t="s">
        <v>205</v>
      </c>
      <c r="W53" s="132"/>
      <c r="X53" s="134"/>
      <c r="Z53" s="189">
        <v>150</v>
      </c>
      <c r="AA53" s="148">
        <f t="shared" si="2"/>
        <v>-50</v>
      </c>
    </row>
    <row r="54" ht="45.65" customHeight="1" hidden="1" spans="1:27" x14ac:dyDescent="0.25">
      <c r="A54" s="121">
        <f t="shared" si="8"/>
        <v>48</v>
      </c>
      <c r="B54" s="122" t="s">
        <v>284</v>
      </c>
      <c r="C54" s="155" t="s">
        <v>199</v>
      </c>
      <c r="D54" s="154" t="s">
        <v>177</v>
      </c>
      <c r="E54" s="124" t="s">
        <v>98</v>
      </c>
      <c r="F54" s="155" t="s">
        <v>200</v>
      </c>
      <c r="G54" s="157">
        <v>150</v>
      </c>
      <c r="H54" s="125">
        <v>26</v>
      </c>
      <c r="I54" s="125">
        <v>0</v>
      </c>
      <c r="J54" s="126">
        <f t="shared" si="0"/>
        <v>150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150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si="4"/>
        <v>150</v>
      </c>
      <c r="U54" s="128">
        <f>VLOOKUP(B54:B111,[1]Sheet1!$E:$J,6,0)</f>
        <v>150</v>
      </c>
      <c r="V54" t="s">
        <v>205</v>
      </c>
      <c r="W54" s="132"/>
      <c r="X54" s="134"/>
      <c r="Z54" s="189">
        <v>100</v>
      </c>
      <c r="AA54" s="148">
        <f t="shared" si="2"/>
        <v>50</v>
      </c>
    </row>
    <row r="55" ht="45.65" customHeight="1" hidden="1" spans="1:27" x14ac:dyDescent="0.25">
      <c r="A55" s="121">
        <f t="shared" si="8"/>
        <v>49</v>
      </c>
      <c r="B55" s="122" t="s">
        <v>285</v>
      </c>
      <c r="C55" s="155" t="s">
        <v>250</v>
      </c>
      <c r="D55" s="154" t="s">
        <v>177</v>
      </c>
      <c r="E55" s="154" t="s">
        <v>98</v>
      </c>
      <c r="F55" s="155" t="s">
        <v>198</v>
      </c>
      <c r="G55" s="157">
        <v>100</v>
      </c>
      <c r="H55" s="125">
        <v>26</v>
      </c>
      <c r="I55" s="125">
        <v>0</v>
      </c>
      <c r="J55" s="126">
        <f t="shared" si="0"/>
        <v>100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100</v>
      </c>
      <c r="P55" s="126">
        <v>0</v>
      </c>
      <c r="Q55" s="126">
        <v>0</v>
      </c>
      <c r="R55" s="126">
        <v>0</v>
      </c>
      <c r="S55" s="126">
        <v>0</v>
      </c>
      <c r="T55" s="127">
        <f t="shared" si="4"/>
        <v>100</v>
      </c>
      <c r="U55" s="128">
        <f>VLOOKUP(B55:B112,[1]Sheet1!$E:$J,6,0)</f>
        <v>100</v>
      </c>
      <c r="V55" t="s">
        <v>205</v>
      </c>
      <c r="W55" s="132"/>
      <c r="X55" s="134"/>
      <c r="Z55" s="189">
        <v>238.85</v>
      </c>
      <c r="AA55" s="148">
        <f t="shared" si="2"/>
        <v>-138.85</v>
      </c>
    </row>
    <row r="56" ht="45.65" customHeight="1" spans="1:27" x14ac:dyDescent="0.25">
      <c r="A56" s="121">
        <f t="shared" si="8"/>
        <v>50</v>
      </c>
      <c r="B56" s="122" t="s">
        <v>286</v>
      </c>
      <c r="C56" s="155" t="s">
        <v>251</v>
      </c>
      <c r="D56" s="154" t="s">
        <v>97</v>
      </c>
      <c r="E56" s="154" t="s">
        <v>98</v>
      </c>
      <c r="F56" s="155"/>
      <c r="G56" s="157">
        <v>270</v>
      </c>
      <c r="H56" s="125">
        <v>26</v>
      </c>
      <c r="I56" s="125">
        <v>0</v>
      </c>
      <c r="J56" s="126">
        <f>G56/26*H56</f>
        <v>270</v>
      </c>
      <c r="K56" s="126">
        <v>0</v>
      </c>
      <c r="L56" s="126">
        <v>0</v>
      </c>
      <c r="M56" s="126">
        <v>0</v>
      </c>
      <c r="N56" s="126">
        <v>0</v>
      </c>
      <c r="O56" s="126">
        <f>J56+K56+L56+M56+N56</f>
        <v>270</v>
      </c>
      <c r="P56" s="126">
        <v>0</v>
      </c>
      <c r="Q56" s="126">
        <v>176.54</v>
      </c>
      <c r="R56" s="126">
        <v>0</v>
      </c>
      <c r="S56" s="126">
        <v>0</v>
      </c>
      <c r="T56" s="127">
        <f>O56-P56-Q56-R56-S56</f>
        <v>93.46000000000001</v>
      </c>
      <c r="U56" s="128">
        <f>VLOOKUP(B56:B113,[1]Sheet1!$E:$J,6,0)</f>
        <v>93.46000000000001</v>
      </c>
      <c r="V56" t="s">
        <v>205</v>
      </c>
      <c r="W56" s="132"/>
      <c r="X56" s="134"/>
      <c r="Z56" s="189">
        <v>500</v>
      </c>
      <c r="AA56" s="148">
        <f t="shared" si="2"/>
        <v>-406.53999999999996</v>
      </c>
    </row>
    <row r="57" ht="45.65" customHeight="1" hidden="1" spans="1:27" x14ac:dyDescent="0.25">
      <c r="A57" s="121">
        <f t="shared" si="8"/>
        <v>51</v>
      </c>
      <c r="B57" s="122" t="s">
        <v>350</v>
      </c>
      <c r="C57" s="155" t="s">
        <v>253</v>
      </c>
      <c r="D57" s="154" t="s">
        <v>100</v>
      </c>
      <c r="E57" s="154" t="s">
        <v>98</v>
      </c>
      <c r="F57" s="155"/>
      <c r="G57" s="157">
        <v>500</v>
      </c>
      <c r="H57" s="125">
        <v>26</v>
      </c>
      <c r="I57" s="125">
        <v>0</v>
      </c>
      <c r="J57" s="126">
        <f t="shared" ref="J57:J60" si="9">G57/26*H57</f>
        <v>500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ref="O57:O60" si="10">J57+K57+L57+M57+N57</f>
        <v>500</v>
      </c>
      <c r="P57" s="126">
        <v>0</v>
      </c>
      <c r="Q57" s="126">
        <v>0</v>
      </c>
      <c r="R57" s="126">
        <v>0</v>
      </c>
      <c r="S57" s="126">
        <v>0</v>
      </c>
      <c r="T57" s="127">
        <f>O57-P57-Q57-R57-S57</f>
        <v>500</v>
      </c>
      <c r="U57" s="128">
        <f>VLOOKUP(B57:B114,[1]Sheet1!$E:$J,6,0)</f>
        <v>500</v>
      </c>
      <c r="W57" s="132"/>
      <c r="X57" s="134"/>
      <c r="Y57" t="s">
        <v>243</v>
      </c>
      <c r="Z57" s="189">
        <v>350</v>
      </c>
      <c r="AA57" s="148">
        <f t="shared" si="2"/>
        <v>150</v>
      </c>
    </row>
    <row r="58" ht="45.65" customHeight="1" hidden="1" spans="1:27" x14ac:dyDescent="0.25">
      <c r="A58" s="121">
        <f t="shared" si="8"/>
        <v>52</v>
      </c>
      <c r="B58" s="122" t="s">
        <v>287</v>
      </c>
      <c r="C58" s="155" t="s">
        <v>254</v>
      </c>
      <c r="D58" s="154" t="s">
        <v>100</v>
      </c>
      <c r="E58" s="154" t="s">
        <v>98</v>
      </c>
      <c r="F58" s="155"/>
      <c r="G58" s="157">
        <v>350</v>
      </c>
      <c r="H58" s="125">
        <v>26</v>
      </c>
      <c r="I58" s="125">
        <v>0</v>
      </c>
      <c r="J58" s="126">
        <f t="shared" si="9"/>
        <v>350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0"/>
        <v>350</v>
      </c>
      <c r="P58" s="126">
        <v>0</v>
      </c>
      <c r="Q58" s="126">
        <v>0</v>
      </c>
      <c r="R58" s="126">
        <v>0</v>
      </c>
      <c r="S58" s="126">
        <v>0</v>
      </c>
      <c r="T58" s="127">
        <f t="shared" si="4"/>
        <v>350</v>
      </c>
      <c r="U58" s="128">
        <f>VLOOKUP(B58:B115,[1]Sheet1!$E:$J,6,0)</f>
        <v>350</v>
      </c>
      <c r="W58" s="132"/>
      <c r="X58" s="134"/>
      <c r="Z58" s="189">
        <v>600</v>
      </c>
      <c r="AA58" s="148">
        <f t="shared" si="2"/>
        <v>-250</v>
      </c>
    </row>
    <row r="59" ht="45.65" customHeight="1" hidden="1" spans="1:27" x14ac:dyDescent="0.25">
      <c r="A59" s="121">
        <f t="shared" si="8"/>
        <v>53</v>
      </c>
      <c r="B59" s="122" t="s">
        <v>288</v>
      </c>
      <c r="C59" s="155" t="s">
        <v>289</v>
      </c>
      <c r="D59" s="154" t="s">
        <v>100</v>
      </c>
      <c r="E59" s="154" t="s">
        <v>98</v>
      </c>
      <c r="F59" s="155"/>
      <c r="G59" s="157">
        <v>80</v>
      </c>
      <c r="H59" s="125">
        <v>26</v>
      </c>
      <c r="I59" s="125">
        <v>0</v>
      </c>
      <c r="J59" s="126">
        <f t="shared" si="9"/>
        <v>80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0"/>
        <v>80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4"/>
        <v>80</v>
      </c>
      <c r="U59" s="128">
        <f>VLOOKUP(B59:B116,[1]Sheet1!$E:$J,6,0)</f>
        <v>80</v>
      </c>
      <c r="W59" s="132"/>
      <c r="X59" s="134"/>
      <c r="Z59" s="189"/>
      <c r="AA59" s="148"/>
    </row>
    <row r="60" ht="45.65" customHeight="1" hidden="1" spans="1:27" x14ac:dyDescent="0.25">
      <c r="A60" s="121">
        <f t="shared" si="8"/>
        <v>54</v>
      </c>
      <c r="B60" s="122" t="s">
        <v>290</v>
      </c>
      <c r="C60" s="155" t="s">
        <v>291</v>
      </c>
      <c r="D60" s="154" t="s">
        <v>100</v>
      </c>
      <c r="E60" s="154" t="s">
        <v>98</v>
      </c>
      <c r="F60" s="155"/>
      <c r="G60" s="157">
        <v>60</v>
      </c>
      <c r="H60" s="125">
        <v>26</v>
      </c>
      <c r="I60" s="125">
        <v>0</v>
      </c>
      <c r="J60" s="126">
        <f t="shared" si="9"/>
        <v>59.99999999999999</v>
      </c>
      <c r="K60" s="126">
        <v>0</v>
      </c>
      <c r="L60" s="126"/>
      <c r="M60" s="126">
        <v>0</v>
      </c>
      <c r="N60" s="126">
        <v>0</v>
      </c>
      <c r="O60" s="126">
        <f t="shared" si="10"/>
        <v>59.99999999999999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4"/>
        <v>59.99999999999999</v>
      </c>
      <c r="U60" s="128">
        <f>VLOOKUP(B60:B117,[1]Sheet1!$E:$J,6,0)</f>
        <v>59.99999999999999</v>
      </c>
      <c r="W60" s="132"/>
      <c r="X60" s="134"/>
      <c r="Z60" s="189"/>
      <c r="AA60" s="148"/>
    </row>
    <row r="61" ht="45.65" customHeight="1" hidden="1" spans="1:27" x14ac:dyDescent="0.25">
      <c r="A61" s="121">
        <v>55</v>
      </c>
      <c r="B61" s="122" t="s">
        <v>295</v>
      </c>
      <c r="C61" s="155" t="s">
        <v>351</v>
      </c>
      <c r="D61" s="154" t="s">
        <v>100</v>
      </c>
      <c r="E61" s="154" t="s">
        <v>98</v>
      </c>
      <c r="F61" s="155"/>
      <c r="G61" s="157">
        <v>135</v>
      </c>
      <c r="H61" s="125">
        <v>26</v>
      </c>
      <c r="I61" s="125">
        <v>0</v>
      </c>
      <c r="J61" s="126">
        <f t="shared" ref="J61" si="11">G61/26*H61</f>
        <v>135</v>
      </c>
      <c r="K61" s="126">
        <v>0</v>
      </c>
      <c r="L61" s="126"/>
      <c r="M61" s="126">
        <v>0</v>
      </c>
      <c r="N61" s="126">
        <v>0</v>
      </c>
      <c r="O61" s="126">
        <f t="shared" ref="O61" si="12">J61+K61+L61+M61+N61</f>
        <v>135</v>
      </c>
      <c r="P61" s="126">
        <v>0</v>
      </c>
      <c r="Q61" s="126">
        <v>0</v>
      </c>
      <c r="R61" s="126">
        <v>0</v>
      </c>
      <c r="S61" s="126">
        <v>0</v>
      </c>
      <c r="T61" s="127">
        <f t="shared" ref="T61" si="13">O61-P61-Q61-R61-S61</f>
        <v>135</v>
      </c>
      <c r="U61" s="128" t="str">
        <f>VLOOKUP(B61:B118,[1]Sheet1!$E:$J,6,0)</f>
        <v>bec</v>
      </c>
      <c r="W61" s="132"/>
      <c r="X61" s="134"/>
      <c r="Z61" s="189"/>
      <c r="AA61" s="148"/>
    </row>
    <row r="62" ht="45.65" customHeight="1" hidden="1" spans="1:27" x14ac:dyDescent="0.25">
      <c r="A62" s="121">
        <f>A60+1</f>
        <v>55</v>
      </c>
      <c r="B62" s="122" t="s">
        <v>237</v>
      </c>
      <c r="C62" s="155" t="s">
        <v>201</v>
      </c>
      <c r="D62" s="154" t="s">
        <v>97</v>
      </c>
      <c r="E62" s="154" t="s">
        <v>98</v>
      </c>
      <c r="F62" s="155"/>
      <c r="G62" s="156">
        <v>600</v>
      </c>
      <c r="H62" s="125">
        <v>26</v>
      </c>
      <c r="I62" s="125">
        <v>0</v>
      </c>
      <c r="J62" s="126">
        <f t="shared" si="0"/>
        <v>600</v>
      </c>
      <c r="K62" s="126">
        <v>0</v>
      </c>
      <c r="L62" s="126">
        <v>0</v>
      </c>
      <c r="M62" s="126">
        <v>0</v>
      </c>
      <c r="N62" s="126">
        <v>0</v>
      </c>
      <c r="O62" s="126">
        <f t="shared" si="1"/>
        <v>600</v>
      </c>
      <c r="P62" s="126">
        <v>0</v>
      </c>
      <c r="Q62" s="151">
        <v>0</v>
      </c>
      <c r="R62" s="126">
        <v>0</v>
      </c>
      <c r="S62" s="152">
        <v>176.3</v>
      </c>
      <c r="T62" s="127">
        <f t="shared" si="4"/>
        <v>423.7</v>
      </c>
      <c r="U62" s="132" t="s">
        <v>57</v>
      </c>
      <c r="V62" t="s">
        <v>207</v>
      </c>
      <c r="W62" s="132">
        <v>600</v>
      </c>
      <c r="X62" s="134">
        <v>-176.3</v>
      </c>
      <c r="Y62" t="s">
        <v>243</v>
      </c>
      <c r="Z62" s="189">
        <v>422.65</v>
      </c>
      <c r="AA62" s="148">
        <f t="shared" si="2"/>
        <v>1.0500000000000114</v>
      </c>
    </row>
    <row r="63" ht="45.65" customHeight="1" spans="1:25" x14ac:dyDescent="0.25">
      <c r="A63" s="121">
        <f t="shared" si="8"/>
        <v>56</v>
      </c>
      <c r="B63" s="122" t="s">
        <v>238</v>
      </c>
      <c r="C63" s="155" t="s">
        <v>202</v>
      </c>
      <c r="D63" s="154" t="s">
        <v>97</v>
      </c>
      <c r="E63" s="154" t="s">
        <v>156</v>
      </c>
      <c r="F63" s="155" t="s">
        <v>301</v>
      </c>
      <c r="G63" s="156">
        <v>422.6</v>
      </c>
      <c r="H63" s="125">
        <v>26</v>
      </c>
      <c r="I63" s="125">
        <v>0</v>
      </c>
      <c r="J63" s="126">
        <f t="shared" si="0"/>
        <v>422.6</v>
      </c>
      <c r="K63" s="126">
        <v>0</v>
      </c>
      <c r="L63" s="126">
        <v>0</v>
      </c>
      <c r="M63" s="126">
        <v>0</v>
      </c>
      <c r="N63" s="126">
        <v>0</v>
      </c>
      <c r="O63" s="126">
        <f t="shared" si="1"/>
        <v>422.6</v>
      </c>
      <c r="P63" s="126">
        <v>0</v>
      </c>
      <c r="Q63" s="126">
        <v>195.05</v>
      </c>
      <c r="R63" s="126">
        <v>0</v>
      </c>
      <c r="S63" s="126">
        <v>0</v>
      </c>
      <c r="T63" s="127">
        <f t="shared" si="4"/>
        <v>227.55</v>
      </c>
      <c r="U63" s="132"/>
      <c r="V63" t="s">
        <v>207</v>
      </c>
      <c r="W63" s="132"/>
      <c r="X63" s="134"/>
      <c r="Y63" t="s">
        <v>243</v>
      </c>
    </row>
    <row r="64" ht="45.65" customHeight="1" hidden="1" spans="1:25" x14ac:dyDescent="0.25">
      <c r="A64" s="121">
        <v>55</v>
      </c>
      <c r="B64" s="122" t="s">
        <v>239</v>
      </c>
      <c r="C64" s="155" t="s">
        <v>170</v>
      </c>
      <c r="D64" s="154"/>
      <c r="E64" s="154" t="s">
        <v>171</v>
      </c>
      <c r="F64" s="155"/>
      <c r="G64" s="157">
        <v>300</v>
      </c>
      <c r="H64" s="125">
        <v>26</v>
      </c>
      <c r="I64" s="125">
        <v>0</v>
      </c>
      <c r="J64" s="126">
        <f t="shared" si="0"/>
        <v>300</v>
      </c>
      <c r="K64" s="126">
        <v>0</v>
      </c>
      <c r="L64" s="126">
        <v>0</v>
      </c>
      <c r="M64" s="126">
        <v>0</v>
      </c>
      <c r="N64" s="126">
        <v>0</v>
      </c>
      <c r="O64" s="126">
        <f t="shared" si="1"/>
        <v>300</v>
      </c>
      <c r="P64" s="126">
        <v>0</v>
      </c>
      <c r="Q64" s="151">
        <v>0</v>
      </c>
      <c r="R64" s="126">
        <v>0</v>
      </c>
      <c r="S64" s="152">
        <v>300</v>
      </c>
      <c r="T64" s="127">
        <f t="shared" si="4"/>
        <v>0</v>
      </c>
      <c r="U64" s="132" t="s">
        <v>57</v>
      </c>
      <c r="V64" t="s">
        <v>207</v>
      </c>
      <c r="W64" s="132">
        <v>300</v>
      </c>
      <c r="X64" s="134">
        <v>-300</v>
      </c>
      <c r="Y64" t="s">
        <v>243</v>
      </c>
    </row>
    <row r="65" ht="45.65" customHeight="1" hidden="1" spans="1:25" x14ac:dyDescent="0.25">
      <c r="A65" s="121">
        <v>56</v>
      </c>
      <c r="B65" s="122" t="s">
        <v>240</v>
      </c>
      <c r="C65" s="155" t="s">
        <v>172</v>
      </c>
      <c r="D65" s="154"/>
      <c r="E65" s="154" t="s">
        <v>171</v>
      </c>
      <c r="F65" s="155"/>
      <c r="G65" s="157">
        <v>600</v>
      </c>
      <c r="H65" s="125">
        <v>26</v>
      </c>
      <c r="I65" s="125">
        <v>0</v>
      </c>
      <c r="J65" s="126">
        <f t="shared" si="0"/>
        <v>600</v>
      </c>
      <c r="K65" s="126">
        <v>0</v>
      </c>
      <c r="L65" s="126">
        <v>0</v>
      </c>
      <c r="M65" s="126">
        <v>0</v>
      </c>
      <c r="N65" s="126">
        <v>0</v>
      </c>
      <c r="O65" s="126">
        <f t="shared" si="1"/>
        <v>600</v>
      </c>
      <c r="P65" s="126">
        <v>0</v>
      </c>
      <c r="Q65" s="151">
        <v>0</v>
      </c>
      <c r="R65" s="126">
        <v>0</v>
      </c>
      <c r="S65" s="152">
        <v>600</v>
      </c>
      <c r="T65" s="127">
        <f t="shared" si="4"/>
        <v>0</v>
      </c>
      <c r="U65" s="131" t="s">
        <v>57</v>
      </c>
      <c r="V65" t="s">
        <v>207</v>
      </c>
      <c r="W65" s="132">
        <v>600</v>
      </c>
      <c r="X65" s="134">
        <v>-600</v>
      </c>
      <c r="Y65" t="s">
        <v>243</v>
      </c>
    </row>
    <row r="66" ht="45.65" customHeight="1" hidden="1" spans="1:24" x14ac:dyDescent="0.25">
      <c r="A66" s="121">
        <v>57</v>
      </c>
      <c r="B66" s="122"/>
      <c r="C66" s="155"/>
      <c r="D66" s="154"/>
      <c r="E66" s="154"/>
      <c r="F66" s="155"/>
      <c r="G66" s="157"/>
      <c r="H66" s="125">
        <v>26</v>
      </c>
      <c r="I66" s="125">
        <v>0</v>
      </c>
      <c r="J66" s="126">
        <f t="shared" si="0"/>
        <v>0</v>
      </c>
      <c r="K66" s="126">
        <v>0</v>
      </c>
      <c r="L66" s="126">
        <v>0</v>
      </c>
      <c r="M66" s="126">
        <v>0</v>
      </c>
      <c r="N66" s="126">
        <v>0</v>
      </c>
      <c r="O66" s="126">
        <f t="shared" si="1"/>
        <v>0</v>
      </c>
      <c r="P66" s="126">
        <v>0</v>
      </c>
      <c r="Q66" s="126">
        <v>0</v>
      </c>
      <c r="R66" s="126">
        <v>0</v>
      </c>
      <c r="S66" s="126">
        <v>0</v>
      </c>
      <c r="T66" s="127">
        <f t="shared" si="4"/>
        <v>0</v>
      </c>
      <c r="U66" s="128"/>
      <c r="W66" s="132"/>
      <c r="X66" s="134"/>
    </row>
    <row r="67" ht="45.65" customHeight="1" hidden="1" spans="1:24" x14ac:dyDescent="0.25">
      <c r="A67" s="121">
        <v>58</v>
      </c>
      <c r="B67" s="122"/>
      <c r="C67" s="155"/>
      <c r="D67" s="154"/>
      <c r="E67" s="154"/>
      <c r="F67" s="155"/>
      <c r="G67" s="157"/>
      <c r="H67" s="125">
        <v>26</v>
      </c>
      <c r="I67" s="125">
        <v>0</v>
      </c>
      <c r="J67" s="126">
        <f t="shared" si="0"/>
        <v>0</v>
      </c>
      <c r="K67" s="126">
        <v>0</v>
      </c>
      <c r="L67" s="126">
        <v>0</v>
      </c>
      <c r="M67" s="126">
        <v>0</v>
      </c>
      <c r="N67" s="126">
        <v>0</v>
      </c>
      <c r="O67" s="126">
        <f t="shared" si="1"/>
        <v>0</v>
      </c>
      <c r="P67" s="126">
        <v>0</v>
      </c>
      <c r="Q67" s="126">
        <v>0</v>
      </c>
      <c r="R67" s="126">
        <v>0</v>
      </c>
      <c r="S67" s="126">
        <v>0</v>
      </c>
      <c r="T67" s="127">
        <f t="shared" si="4"/>
        <v>0</v>
      </c>
      <c r="U67" s="128"/>
      <c r="W67" s="132"/>
      <c r="X67" s="134"/>
    </row>
    <row r="68" ht="45.65" customHeight="1" hidden="1" spans="1:24" x14ac:dyDescent="0.25">
      <c r="A68" s="121">
        <v>59</v>
      </c>
      <c r="B68" s="122"/>
      <c r="C68" s="160"/>
      <c r="D68" s="161"/>
      <c r="E68" s="161"/>
      <c r="F68" s="160"/>
      <c r="G68" s="162"/>
      <c r="H68" s="163">
        <v>26</v>
      </c>
      <c r="I68" s="163">
        <v>0</v>
      </c>
      <c r="J68" s="164">
        <f t="shared" si="0"/>
        <v>0</v>
      </c>
      <c r="K68" s="164">
        <v>0</v>
      </c>
      <c r="L68" s="164">
        <v>0</v>
      </c>
      <c r="M68" s="164">
        <v>0</v>
      </c>
      <c r="N68" s="164">
        <v>0</v>
      </c>
      <c r="O68" s="164">
        <f t="shared" si="1"/>
        <v>0</v>
      </c>
      <c r="P68" s="164">
        <v>0</v>
      </c>
      <c r="Q68" s="164">
        <v>0</v>
      </c>
      <c r="R68" s="164">
        <v>0</v>
      </c>
      <c r="S68" s="164">
        <v>0</v>
      </c>
      <c r="T68" s="165">
        <f t="shared" si="4"/>
        <v>0</v>
      </c>
      <c r="U68" s="166"/>
      <c r="W68" s="132"/>
      <c r="X68" s="134"/>
    </row>
    <row r="69" ht="50.15" customHeight="1" spans="1:24" x14ac:dyDescent="0.25">
      <c r="A69" s="184" t="s">
        <v>26</v>
      </c>
      <c r="B69" s="185"/>
      <c r="C69" s="185"/>
      <c r="D69" s="185"/>
      <c r="E69" s="185"/>
      <c r="F69" s="185"/>
      <c r="G69" s="185"/>
      <c r="H69" s="185"/>
      <c r="I69" s="186"/>
      <c r="J69" s="146">
        <f t="shared" ref="J69:T69" si="14">SUBTOTAL(9,J6:J68)</f>
        <v>3532.6</v>
      </c>
      <c r="K69" s="146">
        <f t="shared" si="14"/>
        <v>0</v>
      </c>
      <c r="L69" s="146">
        <f t="shared" si="14"/>
        <v>50.77</v>
      </c>
      <c r="M69" s="146">
        <f t="shared" si="14"/>
        <v>0</v>
      </c>
      <c r="N69" s="146">
        <f t="shared" si="14"/>
        <v>0</v>
      </c>
      <c r="O69" s="146">
        <f t="shared" si="14"/>
        <v>3583.37</v>
      </c>
      <c r="P69" s="146">
        <f t="shared" si="14"/>
        <v>0</v>
      </c>
      <c r="Q69" s="146">
        <f t="shared" si="14"/>
        <v>631.4200000000001</v>
      </c>
      <c r="R69" s="146">
        <f t="shared" si="14"/>
        <v>50</v>
      </c>
      <c r="S69" s="167">
        <f t="shared" si="14"/>
        <v>0</v>
      </c>
      <c r="T69" s="147">
        <f t="shared" si="14"/>
        <v>2901.9500000000003</v>
      </c>
      <c r="U69" s="146"/>
      <c r="W69" s="146">
        <f t="shared" ref="W69:X69" si="15">SUBTOTAL(9,W6:W68)</f>
        <v>0</v>
      </c>
      <c r="X69" s="146">
        <f t="shared" si="15"/>
        <v>0</v>
      </c>
    </row>
    <row r="73" spans="15:18" x14ac:dyDescent="0.25">
      <c r="O73" s="148"/>
      <c r="R73" s="148"/>
    </row>
  </sheetData>
  <autoFilter ref="A5:X68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8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6"/>
  <sheetViews>
    <sheetView workbookViewId="0" zoomScale="70" zoomScaleNormal="70">
      <pane ySplit="5" topLeftCell="A6" activePane="bottomLeft" state="frozen"/>
      <selection pane="bottomLeft" activeCell="Q9" sqref="Q9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292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spans="1:27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1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v>2</v>
      </c>
      <c r="B7" s="122" t="s">
        <v>206</v>
      </c>
      <c r="C7" s="130" t="s">
        <v>182</v>
      </c>
      <c r="D7" s="124" t="s">
        <v>97</v>
      </c>
      <c r="E7" s="124" t="s">
        <v>98</v>
      </c>
      <c r="F7" s="130" t="s">
        <v>102</v>
      </c>
      <c r="G7" s="129">
        <v>410</v>
      </c>
      <c r="H7" s="125">
        <v>26</v>
      </c>
      <c r="I7" s="125">
        <v>0</v>
      </c>
      <c r="J7" s="126">
        <f>G7/26*H7</f>
        <v>410</v>
      </c>
      <c r="K7" s="126">
        <v>0</v>
      </c>
      <c r="L7" s="126">
        <v>0</v>
      </c>
      <c r="M7" s="126">
        <v>0</v>
      </c>
      <c r="N7" s="126">
        <v>0</v>
      </c>
      <c r="O7" s="126">
        <f>J7+K7+L7+M7+N7</f>
        <v>410</v>
      </c>
      <c r="P7" s="126">
        <v>0</v>
      </c>
      <c r="Q7" s="126">
        <v>0.99</v>
      </c>
      <c r="R7" s="126">
        <v>0</v>
      </c>
      <c r="S7" s="126">
        <v>0</v>
      </c>
      <c r="T7" s="127">
        <f>O7-P7-Q7-R7-S7</f>
        <v>409.01</v>
      </c>
      <c r="U7" s="131"/>
      <c r="V7" t="s">
        <v>207</v>
      </c>
      <c r="X7" s="131"/>
      <c r="Y7" t="s">
        <v>243</v>
      </c>
      <c r="Z7" s="189">
        <v>410</v>
      </c>
      <c r="AA7" s="148">
        <f>T7-Z7</f>
        <v>-0.9900000000000091</v>
      </c>
    </row>
    <row r="8" ht="45.65" customHeight="1" spans="1:27" x14ac:dyDescent="0.25">
      <c r="A8" s="121">
        <v>3</v>
      </c>
      <c r="B8" s="122" t="s">
        <v>257</v>
      </c>
      <c r="C8" s="123" t="s">
        <v>242</v>
      </c>
      <c r="D8" s="124" t="s">
        <v>100</v>
      </c>
      <c r="E8" s="124" t="s">
        <v>101</v>
      </c>
      <c r="F8" s="123"/>
      <c r="G8" s="122">
        <v>150</v>
      </c>
      <c r="H8" s="125">
        <v>26</v>
      </c>
      <c r="I8" s="125">
        <v>0</v>
      </c>
      <c r="J8" s="126">
        <f t="shared" si="0"/>
        <v>150</v>
      </c>
      <c r="K8" s="126">
        <v>0</v>
      </c>
      <c r="L8" s="126">
        <v>0</v>
      </c>
      <c r="M8" s="126">
        <v>0</v>
      </c>
      <c r="N8" s="126">
        <v>0</v>
      </c>
      <c r="O8" s="126">
        <f t="shared" ref="O8:O61" si="1">J8+K8+L8+M8+N8</f>
        <v>150</v>
      </c>
      <c r="P8" s="126">
        <v>0</v>
      </c>
      <c r="Q8" s="126">
        <v>0</v>
      </c>
      <c r="R8" s="126">
        <v>0</v>
      </c>
      <c r="S8" s="126">
        <v>0</v>
      </c>
      <c r="T8" s="127">
        <f>O8-P8-Q8-R8-S8</f>
        <v>150</v>
      </c>
      <c r="U8" s="128"/>
      <c r="V8" t="s">
        <v>205</v>
      </c>
      <c r="W8" s="128"/>
      <c r="X8" s="128"/>
      <c r="Z8" s="189">
        <v>69.23</v>
      </c>
      <c r="AA8" s="148">
        <f t="shared" ref="AA8:AA55" si="2">T8-Z8</f>
        <v>80.77</v>
      </c>
    </row>
    <row r="9" ht="45.65" customHeight="1" spans="1:27" x14ac:dyDescent="0.25">
      <c r="A9" s="121">
        <f>A8+1</f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ref="T9:T52" si="3">O9-P9-Q9-R9-S9</f>
        <v>255.00000000000003</v>
      </c>
      <c r="U9" s="132"/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spans="1:27" x14ac:dyDescent="0.25">
      <c r="A10" s="121">
        <f t="shared" ref="A10:A61" si="4">A9+1</f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f t="shared" si="4"/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181.92</v>
      </c>
      <c r="R11" s="126">
        <v>0</v>
      </c>
      <c r="S11" s="126">
        <v>0</v>
      </c>
      <c r="T11" s="127">
        <f t="shared" si="3"/>
        <v>248.08000000000007</v>
      </c>
      <c r="U11" s="132"/>
      <c r="V11" t="s">
        <v>205</v>
      </c>
      <c r="W11" s="132"/>
      <c r="X11" s="132"/>
      <c r="Z11" s="189">
        <v>430</v>
      </c>
      <c r="AA11" s="148">
        <f t="shared" si="2"/>
        <v>-181.91999999999993</v>
      </c>
    </row>
    <row r="12" ht="45.65" customHeight="1" spans="1:27" x14ac:dyDescent="0.25">
      <c r="A12" s="121">
        <f t="shared" si="4"/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2.31</v>
      </c>
      <c r="R12" s="126">
        <v>50</v>
      </c>
      <c r="S12" s="126">
        <v>0</v>
      </c>
      <c r="T12" s="127">
        <f t="shared" si="3"/>
        <v>187.68999999999997</v>
      </c>
      <c r="U12" s="132"/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-2.3100000000000307</v>
      </c>
    </row>
    <row r="13" ht="45.65" customHeight="1" spans="1:27" x14ac:dyDescent="0.25">
      <c r="A13" s="121">
        <f t="shared" si="4"/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330</v>
      </c>
      <c r="U13" s="132"/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0</v>
      </c>
    </row>
    <row r="14" ht="45.65" customHeight="1" spans="1:27" x14ac:dyDescent="0.25">
      <c r="A14" s="121">
        <f t="shared" si="4"/>
        <v>9</v>
      </c>
      <c r="B14" s="122" t="s">
        <v>210</v>
      </c>
      <c r="C14" s="123" t="s">
        <v>117</v>
      </c>
      <c r="D14" s="124" t="s">
        <v>97</v>
      </c>
      <c r="E14" s="124" t="s">
        <v>98</v>
      </c>
      <c r="F14" s="123" t="s">
        <v>118</v>
      </c>
      <c r="G14" s="122">
        <v>200</v>
      </c>
      <c r="H14" s="125">
        <v>26</v>
      </c>
      <c r="I14" s="125">
        <v>0</v>
      </c>
      <c r="J14" s="126">
        <f t="shared" si="0"/>
        <v>200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200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3"/>
        <v>200</v>
      </c>
      <c r="U14" s="132"/>
      <c r="V14" t="s">
        <v>207</v>
      </c>
      <c r="W14" s="132"/>
      <c r="X14" s="132"/>
      <c r="Y14" t="s">
        <v>243</v>
      </c>
      <c r="Z14" s="189">
        <v>200</v>
      </c>
      <c r="AA14" s="148">
        <f t="shared" si="2"/>
        <v>0</v>
      </c>
    </row>
    <row r="15" ht="45.65" customHeight="1" spans="1:27" x14ac:dyDescent="0.25">
      <c r="A15" s="121">
        <f t="shared" si="4"/>
        <v>10</v>
      </c>
      <c r="B15" s="122" t="s">
        <v>211</v>
      </c>
      <c r="C15" s="123" t="s">
        <v>185</v>
      </c>
      <c r="D15" s="124" t="s">
        <v>97</v>
      </c>
      <c r="E15" s="124" t="s">
        <v>120</v>
      </c>
      <c r="F15" s="123" t="s">
        <v>121</v>
      </c>
      <c r="G15" s="122">
        <v>430</v>
      </c>
      <c r="H15" s="125">
        <v>26</v>
      </c>
      <c r="I15" s="125">
        <v>0</v>
      </c>
      <c r="J15" s="126">
        <f t="shared" si="0"/>
        <v>430.00000000000006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430.00000000000006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430.00000000000006</v>
      </c>
      <c r="U15" s="132"/>
      <c r="V15" t="s">
        <v>207</v>
      </c>
      <c r="W15" s="132"/>
      <c r="X15" s="132"/>
      <c r="Y15" t="s">
        <v>243</v>
      </c>
      <c r="Z15" s="189">
        <v>430</v>
      </c>
      <c r="AA15" s="148">
        <f t="shared" si="2"/>
        <v>0</v>
      </c>
    </row>
    <row r="16" ht="45.65" customHeight="1" spans="1:27" x14ac:dyDescent="0.25">
      <c r="A16" s="121">
        <f t="shared" si="4"/>
        <v>11</v>
      </c>
      <c r="B16" s="122" t="s">
        <v>212</v>
      </c>
      <c r="C16" s="123" t="s">
        <v>213</v>
      </c>
      <c r="D16" s="124" t="s">
        <v>97</v>
      </c>
      <c r="E16" s="124" t="s">
        <v>98</v>
      </c>
      <c r="F16" s="123" t="s">
        <v>123</v>
      </c>
      <c r="G16" s="122">
        <v>450</v>
      </c>
      <c r="H16" s="125">
        <v>26</v>
      </c>
      <c r="I16" s="125">
        <v>0</v>
      </c>
      <c r="J16" s="126">
        <f t="shared" si="0"/>
        <v>450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450</v>
      </c>
      <c r="P16" s="126">
        <v>0</v>
      </c>
      <c r="Q16" s="126">
        <v>0</v>
      </c>
      <c r="R16" s="126">
        <v>50</v>
      </c>
      <c r="S16" s="126">
        <v>0</v>
      </c>
      <c r="T16" s="127">
        <f t="shared" si="3"/>
        <v>400</v>
      </c>
      <c r="U16" s="132"/>
      <c r="V16" t="s">
        <v>207</v>
      </c>
      <c r="W16" s="132"/>
      <c r="X16" s="132"/>
      <c r="Y16" t="s">
        <v>243</v>
      </c>
      <c r="Z16" s="189">
        <v>395.67</v>
      </c>
      <c r="AA16" s="148">
        <f t="shared" si="2"/>
        <v>4.329999999999984</v>
      </c>
    </row>
    <row r="17" ht="45.65" customHeight="1" spans="1:27" x14ac:dyDescent="0.25">
      <c r="A17" s="121">
        <f t="shared" si="4"/>
        <v>12</v>
      </c>
      <c r="B17" s="122" t="s">
        <v>214</v>
      </c>
      <c r="C17" s="123" t="s">
        <v>186</v>
      </c>
      <c r="D17" s="124" t="s">
        <v>100</v>
      </c>
      <c r="E17" s="124" t="s">
        <v>98</v>
      </c>
      <c r="F17" s="123" t="s">
        <v>125</v>
      </c>
      <c r="G17" s="122">
        <v>300</v>
      </c>
      <c r="H17" s="125">
        <v>26</v>
      </c>
      <c r="I17" s="125">
        <v>0</v>
      </c>
      <c r="J17" s="126">
        <f t="shared" si="0"/>
        <v>300</v>
      </c>
      <c r="K17" s="126">
        <v>0</v>
      </c>
      <c r="L17" s="126">
        <v>0</v>
      </c>
      <c r="M17" s="126">
        <v>0</v>
      </c>
      <c r="N17" s="150">
        <v>300</v>
      </c>
      <c r="O17" s="126">
        <f t="shared" si="1"/>
        <v>600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3"/>
        <v>600</v>
      </c>
      <c r="U17" s="132"/>
      <c r="V17" t="s">
        <v>207</v>
      </c>
      <c r="W17" s="132"/>
      <c r="X17" s="132"/>
      <c r="Y17" t="s">
        <v>243</v>
      </c>
      <c r="Z17" s="189">
        <v>600</v>
      </c>
      <c r="AA17" s="148">
        <f t="shared" si="2"/>
        <v>0</v>
      </c>
    </row>
    <row r="18" ht="45.65" customHeight="1" spans="1:27" x14ac:dyDescent="0.25">
      <c r="A18" s="121">
        <f t="shared" si="4"/>
        <v>13</v>
      </c>
      <c r="B18" s="122" t="s">
        <v>215</v>
      </c>
      <c r="C18" s="123" t="s">
        <v>126</v>
      </c>
      <c r="D18" s="124" t="s">
        <v>116</v>
      </c>
      <c r="E18" s="124" t="s">
        <v>98</v>
      </c>
      <c r="F18" s="123" t="s">
        <v>127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26">
        <v>0</v>
      </c>
      <c r="O18" s="126">
        <f t="shared" si="1"/>
        <v>300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300</v>
      </c>
      <c r="U18" s="132"/>
      <c r="V18" t="s">
        <v>207</v>
      </c>
      <c r="W18" s="132"/>
      <c r="X18" s="132"/>
      <c r="Y18" t="s">
        <v>243</v>
      </c>
      <c r="Z18" s="189">
        <v>300</v>
      </c>
      <c r="AA18" s="148">
        <f t="shared" si="2"/>
        <v>0</v>
      </c>
    </row>
    <row r="19" ht="45.65" customHeight="1" spans="1:27" x14ac:dyDescent="0.25">
      <c r="A19" s="121">
        <f t="shared" si="4"/>
        <v>14</v>
      </c>
      <c r="B19" s="122" t="s">
        <v>216</v>
      </c>
      <c r="C19" s="123" t="s">
        <v>188</v>
      </c>
      <c r="D19" s="124" t="s">
        <v>116</v>
      </c>
      <c r="E19" s="124" t="s">
        <v>98</v>
      </c>
      <c r="F19" s="123"/>
      <c r="G19" s="122">
        <v>250</v>
      </c>
      <c r="H19" s="125">
        <v>26</v>
      </c>
      <c r="I19" s="125">
        <v>0</v>
      </c>
      <c r="J19" s="126">
        <f t="shared" si="0"/>
        <v>250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250</v>
      </c>
      <c r="P19" s="126">
        <v>0</v>
      </c>
      <c r="Q19" s="126">
        <v>0</v>
      </c>
      <c r="R19" s="126"/>
      <c r="S19" s="126">
        <v>0</v>
      </c>
      <c r="T19" s="127">
        <f t="shared" si="3"/>
        <v>250</v>
      </c>
      <c r="U19" s="132"/>
      <c r="V19" t="s">
        <v>207</v>
      </c>
      <c r="W19" s="133"/>
      <c r="X19" s="134"/>
      <c r="Y19" t="s">
        <v>243</v>
      </c>
      <c r="Z19" s="189">
        <v>250</v>
      </c>
      <c r="AA19" s="148">
        <f t="shared" si="2"/>
        <v>0</v>
      </c>
    </row>
    <row r="20" ht="45.65" customHeight="1" spans="1:27" x14ac:dyDescent="0.25">
      <c r="A20" s="121">
        <f t="shared" si="4"/>
        <v>15</v>
      </c>
      <c r="B20" s="122" t="s">
        <v>262</v>
      </c>
      <c r="C20" s="123" t="s">
        <v>130</v>
      </c>
      <c r="D20" s="124" t="s">
        <v>131</v>
      </c>
      <c r="E20" s="124" t="s">
        <v>98</v>
      </c>
      <c r="F20" s="123"/>
      <c r="G20" s="122">
        <v>100</v>
      </c>
      <c r="H20" s="125">
        <v>26</v>
      </c>
      <c r="I20" s="125">
        <v>0</v>
      </c>
      <c r="J20" s="126">
        <f t="shared" si="0"/>
        <v>100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100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3"/>
        <v>100</v>
      </c>
      <c r="U20" s="132"/>
      <c r="V20" t="s">
        <v>205</v>
      </c>
      <c r="W20" s="132"/>
      <c r="X20" s="132"/>
      <c r="Z20" s="189">
        <v>100</v>
      </c>
      <c r="AA20" s="148">
        <f t="shared" si="2"/>
        <v>0</v>
      </c>
    </row>
    <row r="21" ht="45.65" customHeight="1" spans="1:27" x14ac:dyDescent="0.25">
      <c r="A21" s="121">
        <f t="shared" si="4"/>
        <v>16</v>
      </c>
      <c r="B21" s="122" t="s">
        <v>263</v>
      </c>
      <c r="C21" s="123" t="s">
        <v>132</v>
      </c>
      <c r="D21" s="124" t="s">
        <v>97</v>
      </c>
      <c r="E21" s="124" t="s">
        <v>110</v>
      </c>
      <c r="F21" s="123" t="s">
        <v>133</v>
      </c>
      <c r="G21" s="122">
        <v>450</v>
      </c>
      <c r="H21" s="125">
        <v>26</v>
      </c>
      <c r="I21" s="125">
        <v>0</v>
      </c>
      <c r="J21" s="126">
        <f t="shared" si="0"/>
        <v>450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450</v>
      </c>
      <c r="P21" s="126">
        <v>0</v>
      </c>
      <c r="Q21" s="126">
        <v>0</v>
      </c>
      <c r="R21" s="126">
        <v>50</v>
      </c>
      <c r="S21" s="126">
        <v>0</v>
      </c>
      <c r="T21" s="127">
        <f t="shared" si="3"/>
        <v>400</v>
      </c>
      <c r="U21" s="132"/>
      <c r="V21" t="s">
        <v>205</v>
      </c>
      <c r="W21" s="132"/>
      <c r="X21" s="132"/>
      <c r="Z21" s="189">
        <v>400</v>
      </c>
      <c r="AA21" s="148">
        <f t="shared" si="2"/>
        <v>0</v>
      </c>
    </row>
    <row r="22" ht="45.65" customHeight="1" spans="1:27" x14ac:dyDescent="0.25">
      <c r="A22" s="121">
        <f t="shared" si="4"/>
        <v>17</v>
      </c>
      <c r="B22" s="122" t="s">
        <v>264</v>
      </c>
      <c r="C22" s="123" t="s">
        <v>136</v>
      </c>
      <c r="D22" s="124" t="s">
        <v>109</v>
      </c>
      <c r="E22" s="124" t="s">
        <v>98</v>
      </c>
      <c r="F22" s="123" t="s">
        <v>137</v>
      </c>
      <c r="G22" s="122">
        <v>50</v>
      </c>
      <c r="H22" s="210">
        <v>0</v>
      </c>
      <c r="I22" s="125">
        <v>0</v>
      </c>
      <c r="J22" s="151">
        <f t="shared" si="0"/>
        <v>0</v>
      </c>
      <c r="K22" s="126">
        <v>0</v>
      </c>
      <c r="L22" s="151">
        <v>0</v>
      </c>
      <c r="M22" s="151">
        <v>0</v>
      </c>
      <c r="N22" s="151">
        <v>0</v>
      </c>
      <c r="O22" s="126">
        <f t="shared" si="1"/>
        <v>0</v>
      </c>
      <c r="P22" s="151">
        <v>0</v>
      </c>
      <c r="Q22" s="151">
        <v>0</v>
      </c>
      <c r="R22" s="151">
        <v>0</v>
      </c>
      <c r="S22" s="151">
        <v>0</v>
      </c>
      <c r="T22" s="211">
        <f t="shared" si="3"/>
        <v>0</v>
      </c>
      <c r="U22" s="212"/>
      <c r="V22" t="s">
        <v>205</v>
      </c>
      <c r="W22" s="212"/>
      <c r="X22" s="212"/>
      <c r="Z22" s="189">
        <v>50</v>
      </c>
      <c r="AA22" s="148">
        <f t="shared" si="2"/>
        <v>-50</v>
      </c>
    </row>
    <row r="23" ht="45.65" customHeight="1" spans="1:29" x14ac:dyDescent="0.25">
      <c r="A23" s="121">
        <f t="shared" si="4"/>
        <v>18</v>
      </c>
      <c r="B23" s="122" t="s">
        <v>267</v>
      </c>
      <c r="C23" s="123" t="s">
        <v>138</v>
      </c>
      <c r="D23" s="124" t="s">
        <v>109</v>
      </c>
      <c r="E23" s="124" t="s">
        <v>98</v>
      </c>
      <c r="F23" s="123" t="s">
        <v>139</v>
      </c>
      <c r="G23" s="122">
        <v>150</v>
      </c>
      <c r="H23" s="125">
        <v>26</v>
      </c>
      <c r="I23" s="125">
        <v>0</v>
      </c>
      <c r="J23" s="126">
        <f t="shared" si="0"/>
        <v>150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150</v>
      </c>
      <c r="P23" s="126">
        <v>0</v>
      </c>
      <c r="Q23" s="126">
        <v>5.77</v>
      </c>
      <c r="R23" s="126">
        <v>0</v>
      </c>
      <c r="S23" s="126">
        <v>0</v>
      </c>
      <c r="T23" s="127">
        <f t="shared" si="3"/>
        <v>144.23</v>
      </c>
      <c r="U23" s="132"/>
      <c r="V23" t="s">
        <v>205</v>
      </c>
      <c r="W23" s="132"/>
      <c r="X23" s="132"/>
      <c r="Z23" s="189">
        <v>147.12</v>
      </c>
      <c r="AA23" s="148">
        <f t="shared" si="2"/>
        <v>-2.890000000000015</v>
      </c>
      <c r="AC23">
        <f>150-147.116</f>
        <v>2.883999999999986</v>
      </c>
    </row>
    <row r="24" ht="45.65" customHeight="1" spans="1:27" x14ac:dyDescent="0.25">
      <c r="A24" s="121">
        <f t="shared" si="4"/>
        <v>19</v>
      </c>
      <c r="B24" s="122" t="s">
        <v>219</v>
      </c>
      <c r="C24" s="123" t="s">
        <v>220</v>
      </c>
      <c r="D24" s="124" t="s">
        <v>141</v>
      </c>
      <c r="E24" s="124" t="s">
        <v>98</v>
      </c>
      <c r="F24" s="123"/>
      <c r="G24" s="122">
        <v>150</v>
      </c>
      <c r="H24" s="125">
        <v>26</v>
      </c>
      <c r="I24" s="125">
        <v>0</v>
      </c>
      <c r="J24" s="126">
        <f t="shared" si="0"/>
        <v>150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150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3"/>
        <v>150</v>
      </c>
      <c r="U24" s="132"/>
      <c r="V24" t="s">
        <v>207</v>
      </c>
      <c r="W24" s="132"/>
      <c r="X24" s="132"/>
      <c r="Y24" t="s">
        <v>243</v>
      </c>
      <c r="Z24" s="189">
        <v>150</v>
      </c>
      <c r="AA24" s="148">
        <f t="shared" si="2"/>
        <v>0</v>
      </c>
    </row>
    <row r="25" ht="45.65" customHeight="1" spans="1:27" x14ac:dyDescent="0.25">
      <c r="A25" s="121">
        <f t="shared" si="4"/>
        <v>20</v>
      </c>
      <c r="B25" s="122" t="s">
        <v>221</v>
      </c>
      <c r="C25" s="123" t="s">
        <v>222</v>
      </c>
      <c r="D25" s="124" t="s">
        <v>141</v>
      </c>
      <c r="E25" s="124" t="s">
        <v>98</v>
      </c>
      <c r="F25" s="123"/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3"/>
        <v>150</v>
      </c>
      <c r="U25" s="132"/>
      <c r="V25" t="s">
        <v>207</v>
      </c>
      <c r="W25" s="132"/>
      <c r="X25" s="132"/>
      <c r="Y25" t="s">
        <v>243</v>
      </c>
      <c r="Z25" s="189">
        <v>150</v>
      </c>
      <c r="AA25" s="148">
        <f t="shared" si="2"/>
        <v>0</v>
      </c>
    </row>
    <row r="26" ht="45.65" customHeight="1" spans="1:27" x14ac:dyDescent="0.25">
      <c r="A26" s="121">
        <f t="shared" si="4"/>
        <v>21</v>
      </c>
      <c r="B26" s="122" t="s">
        <v>293</v>
      </c>
      <c r="C26" s="123" t="s">
        <v>294</v>
      </c>
      <c r="D26" s="124" t="s">
        <v>116</v>
      </c>
      <c r="E26" s="124" t="s">
        <v>98</v>
      </c>
      <c r="F26" s="123"/>
      <c r="G26" s="122">
        <v>100</v>
      </c>
      <c r="H26" s="125">
        <v>26</v>
      </c>
      <c r="I26" s="125">
        <v>0</v>
      </c>
      <c r="J26" s="126">
        <f t="shared" si="0"/>
        <v>100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100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3"/>
        <v>100</v>
      </c>
      <c r="U26" s="132"/>
      <c r="V26" t="s">
        <v>205</v>
      </c>
      <c r="W26" s="132"/>
      <c r="X26" s="132"/>
      <c r="Z26" s="189">
        <v>100</v>
      </c>
      <c r="AA26" s="148">
        <f t="shared" si="2"/>
        <v>0</v>
      </c>
    </row>
    <row r="27" ht="45.65" customHeight="1" spans="1:27" x14ac:dyDescent="0.25">
      <c r="A27" s="121">
        <f t="shared" si="4"/>
        <v>22</v>
      </c>
      <c r="B27" s="122" t="s">
        <v>269</v>
      </c>
      <c r="C27" s="123" t="s">
        <v>144</v>
      </c>
      <c r="D27" s="124" t="s">
        <v>141</v>
      </c>
      <c r="E27" s="124" t="s">
        <v>98</v>
      </c>
      <c r="F27" s="123" t="s">
        <v>69</v>
      </c>
      <c r="G27" s="122">
        <v>80</v>
      </c>
      <c r="H27" s="125">
        <v>26</v>
      </c>
      <c r="I27" s="125">
        <v>0</v>
      </c>
      <c r="J27" s="126">
        <f t="shared" si="0"/>
        <v>80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80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80</v>
      </c>
      <c r="U27" s="132"/>
      <c r="V27" t="s">
        <v>205</v>
      </c>
      <c r="W27" s="132"/>
      <c r="X27" s="132"/>
      <c r="Z27" s="189">
        <v>80</v>
      </c>
      <c r="AA27" s="148">
        <f t="shared" si="2"/>
        <v>0</v>
      </c>
    </row>
    <row r="28" ht="45.65" customHeight="1" spans="1:27" x14ac:dyDescent="0.25">
      <c r="A28" s="121">
        <f t="shared" si="4"/>
        <v>23</v>
      </c>
      <c r="B28" s="122" t="s">
        <v>270</v>
      </c>
      <c r="C28" s="123" t="s">
        <v>145</v>
      </c>
      <c r="D28" s="124" t="s">
        <v>97</v>
      </c>
      <c r="E28" s="124" t="s">
        <v>146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150</v>
      </c>
      <c r="U28" s="132"/>
      <c r="V28" t="s">
        <v>205</v>
      </c>
      <c r="W28" s="132"/>
      <c r="X28" s="132"/>
      <c r="Z28" s="189">
        <v>150</v>
      </c>
      <c r="AA28" s="148">
        <f t="shared" si="2"/>
        <v>0</v>
      </c>
    </row>
    <row r="29" ht="45.65" customHeight="1" spans="1:27" x14ac:dyDescent="0.25">
      <c r="A29" s="121">
        <f t="shared" si="4"/>
        <v>24</v>
      </c>
      <c r="B29" s="122" t="s">
        <v>223</v>
      </c>
      <c r="C29" s="123" t="s">
        <v>224</v>
      </c>
      <c r="D29" s="124" t="s">
        <v>141</v>
      </c>
      <c r="E29" s="124" t="s">
        <v>110</v>
      </c>
      <c r="F29" s="123"/>
      <c r="G29" s="122">
        <v>150</v>
      </c>
      <c r="H29" s="125">
        <v>26</v>
      </c>
      <c r="I29" s="125">
        <v>0</v>
      </c>
      <c r="J29" s="126">
        <f t="shared" si="0"/>
        <v>150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150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150</v>
      </c>
      <c r="U29" s="132"/>
      <c r="V29" t="s">
        <v>207</v>
      </c>
      <c r="W29" s="132"/>
      <c r="X29" s="132"/>
      <c r="Y29" t="s">
        <v>243</v>
      </c>
      <c r="Z29" s="189">
        <v>150</v>
      </c>
      <c r="AA29" s="148">
        <f t="shared" si="2"/>
        <v>0</v>
      </c>
    </row>
    <row r="30" ht="45.65" customHeight="1" spans="1:27" x14ac:dyDescent="0.25">
      <c r="A30" s="121">
        <f t="shared" si="4"/>
        <v>25</v>
      </c>
      <c r="B30" s="122" t="s">
        <v>271</v>
      </c>
      <c r="C30" s="123" t="s">
        <v>148</v>
      </c>
      <c r="D30" s="124" t="s">
        <v>116</v>
      </c>
      <c r="E30" s="124" t="s">
        <v>110</v>
      </c>
      <c r="F30" s="123"/>
      <c r="G30" s="122">
        <v>200</v>
      </c>
      <c r="H30" s="125">
        <v>26</v>
      </c>
      <c r="I30" s="125">
        <v>0</v>
      </c>
      <c r="J30" s="126">
        <f t="shared" si="0"/>
        <v>200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200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200</v>
      </c>
      <c r="U30" s="132"/>
      <c r="V30" t="s">
        <v>205</v>
      </c>
      <c r="W30" s="132"/>
      <c r="X30" s="132"/>
      <c r="Z30" s="189">
        <v>200</v>
      </c>
      <c r="AA30" s="148">
        <f t="shared" si="2"/>
        <v>0</v>
      </c>
    </row>
    <row r="31" ht="45.65" customHeight="1" spans="1:27" x14ac:dyDescent="0.25">
      <c r="A31" s="121">
        <f t="shared" si="4"/>
        <v>26</v>
      </c>
      <c r="B31" s="122" t="s">
        <v>272</v>
      </c>
      <c r="C31" s="123" t="s">
        <v>149</v>
      </c>
      <c r="D31" s="124" t="s">
        <v>116</v>
      </c>
      <c r="E31" s="124" t="s">
        <v>98</v>
      </c>
      <c r="F31" s="123"/>
      <c r="G31" s="122">
        <v>250</v>
      </c>
      <c r="H31" s="125">
        <v>26</v>
      </c>
      <c r="I31" s="125">
        <v>0</v>
      </c>
      <c r="J31" s="126">
        <f t="shared" si="0"/>
        <v>250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250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250</v>
      </c>
      <c r="U31" s="132"/>
      <c r="V31" t="s">
        <v>205</v>
      </c>
      <c r="W31" s="132"/>
      <c r="X31" s="134"/>
      <c r="Z31" s="189">
        <v>250</v>
      </c>
      <c r="AA31" s="148">
        <f t="shared" si="2"/>
        <v>0</v>
      </c>
    </row>
    <row r="32" ht="45.65" customHeight="1" spans="1:27" x14ac:dyDescent="0.25">
      <c r="A32" s="121">
        <f t="shared" si="4"/>
        <v>27</v>
      </c>
      <c r="B32" s="122" t="s">
        <v>226</v>
      </c>
      <c r="C32" s="123" t="s">
        <v>152</v>
      </c>
      <c r="D32" s="124" t="s">
        <v>97</v>
      </c>
      <c r="E32" s="124" t="s">
        <v>98</v>
      </c>
      <c r="F32" s="123" t="s">
        <v>153</v>
      </c>
      <c r="G32" s="122">
        <v>270</v>
      </c>
      <c r="H32" s="125">
        <v>26</v>
      </c>
      <c r="I32" s="125">
        <v>0</v>
      </c>
      <c r="J32" s="126">
        <f t="shared" si="0"/>
        <v>270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270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270</v>
      </c>
      <c r="U32" s="132"/>
      <c r="V32" t="s">
        <v>207</v>
      </c>
      <c r="W32" s="132"/>
      <c r="X32" s="132"/>
      <c r="Y32" t="s">
        <v>243</v>
      </c>
      <c r="Z32" s="189">
        <v>270</v>
      </c>
      <c r="AA32" s="148">
        <f t="shared" si="2"/>
        <v>0</v>
      </c>
    </row>
    <row r="33" ht="45.65" customHeight="1" spans="1:27" x14ac:dyDescent="0.25">
      <c r="A33" s="121">
        <f t="shared" si="4"/>
        <v>28</v>
      </c>
      <c r="B33" s="122" t="s">
        <v>273</v>
      </c>
      <c r="C33" s="123" t="s">
        <v>246</v>
      </c>
      <c r="D33" s="124" t="s">
        <v>100</v>
      </c>
      <c r="E33" s="124" t="s">
        <v>98</v>
      </c>
      <c r="F33" s="123"/>
      <c r="G33" s="122">
        <v>280</v>
      </c>
      <c r="H33" s="125">
        <v>26</v>
      </c>
      <c r="I33" s="125">
        <v>0</v>
      </c>
      <c r="J33" s="126">
        <f t="shared" si="0"/>
        <v>280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280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280</v>
      </c>
      <c r="U33" s="132"/>
      <c r="V33" t="s">
        <v>205</v>
      </c>
      <c r="W33" s="132"/>
      <c r="X33" s="132"/>
      <c r="Z33" s="189">
        <v>280</v>
      </c>
      <c r="AA33" s="148">
        <f t="shared" si="2"/>
        <v>0</v>
      </c>
    </row>
    <row r="34" ht="45.65" customHeight="1" spans="1:27" x14ac:dyDescent="0.25">
      <c r="A34" s="121">
        <f t="shared" si="4"/>
        <v>29</v>
      </c>
      <c r="B34" s="122" t="s">
        <v>227</v>
      </c>
      <c r="C34" s="123" t="s">
        <v>191</v>
      </c>
      <c r="D34" s="124" t="s">
        <v>97</v>
      </c>
      <c r="E34" s="124" t="s">
        <v>98</v>
      </c>
      <c r="F34" s="123"/>
      <c r="G34" s="122">
        <v>600</v>
      </c>
      <c r="H34" s="125">
        <v>26</v>
      </c>
      <c r="I34" s="125">
        <v>0</v>
      </c>
      <c r="J34" s="126">
        <f t="shared" si="0"/>
        <v>600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600</v>
      </c>
      <c r="P34" s="126">
        <v>0</v>
      </c>
      <c r="Q34" s="151">
        <v>0</v>
      </c>
      <c r="R34" s="126">
        <v>0</v>
      </c>
      <c r="S34" s="152">
        <v>200</v>
      </c>
      <c r="T34" s="127">
        <f t="shared" si="3"/>
        <v>400</v>
      </c>
      <c r="U34" s="132" t="s">
        <v>57</v>
      </c>
      <c r="V34" t="s">
        <v>207</v>
      </c>
      <c r="W34" s="132">
        <v>600</v>
      </c>
      <c r="X34" s="134">
        <v>-200</v>
      </c>
      <c r="Y34" t="s">
        <v>243</v>
      </c>
      <c r="Z34" s="189">
        <v>600</v>
      </c>
      <c r="AA34" s="148">
        <f t="shared" si="2"/>
        <v>-200</v>
      </c>
    </row>
    <row r="35" ht="45.65" customHeight="1" spans="1:27" x14ac:dyDescent="0.25">
      <c r="A35" s="121">
        <f t="shared" si="4"/>
        <v>30</v>
      </c>
      <c r="B35" s="122" t="s">
        <v>228</v>
      </c>
      <c r="C35" s="123" t="s">
        <v>247</v>
      </c>
      <c r="D35" s="124" t="s">
        <v>97</v>
      </c>
      <c r="E35" s="124" t="s">
        <v>156</v>
      </c>
      <c r="F35" s="123" t="s">
        <v>160</v>
      </c>
      <c r="G35" s="122">
        <v>450</v>
      </c>
      <c r="H35" s="210">
        <v>26</v>
      </c>
      <c r="I35" s="125">
        <v>0</v>
      </c>
      <c r="J35" s="151">
        <f t="shared" si="0"/>
        <v>450</v>
      </c>
      <c r="K35" s="126">
        <v>0</v>
      </c>
      <c r="L35" s="151">
        <v>0</v>
      </c>
      <c r="M35" s="151">
        <v>0</v>
      </c>
      <c r="N35" s="151">
        <v>0</v>
      </c>
      <c r="O35" s="126">
        <f t="shared" si="1"/>
        <v>450</v>
      </c>
      <c r="P35" s="151">
        <v>0</v>
      </c>
      <c r="Q35" s="151">
        <v>0</v>
      </c>
      <c r="R35" s="151">
        <v>0</v>
      </c>
      <c r="S35" s="151">
        <v>0</v>
      </c>
      <c r="T35" s="211">
        <f t="shared" si="3"/>
        <v>450</v>
      </c>
      <c r="U35" s="132"/>
      <c r="V35" t="s">
        <v>207</v>
      </c>
      <c r="W35" s="132"/>
      <c r="X35" s="132"/>
      <c r="Y35" t="s">
        <v>243</v>
      </c>
      <c r="Z35" s="189">
        <v>103.85</v>
      </c>
      <c r="AA35" s="148">
        <f t="shared" si="2"/>
        <v>346.15</v>
      </c>
    </row>
    <row r="36" ht="45.65" customHeight="1" spans="1:27" x14ac:dyDescent="0.25">
      <c r="A36" s="121">
        <f t="shared" si="4"/>
        <v>31</v>
      </c>
      <c r="B36" s="122" t="s">
        <v>229</v>
      </c>
      <c r="C36" s="123" t="s">
        <v>161</v>
      </c>
      <c r="D36" s="124" t="s">
        <v>97</v>
      </c>
      <c r="E36" s="124" t="s">
        <v>156</v>
      </c>
      <c r="F36" s="123" t="s">
        <v>162</v>
      </c>
      <c r="G36" s="122">
        <v>550</v>
      </c>
      <c r="H36" s="125">
        <v>26</v>
      </c>
      <c r="I36" s="125">
        <v>0</v>
      </c>
      <c r="J36" s="126">
        <f t="shared" si="0"/>
        <v>550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550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550</v>
      </c>
      <c r="U36" s="132"/>
      <c r="V36" t="s">
        <v>207</v>
      </c>
      <c r="W36" s="132"/>
      <c r="X36" s="132"/>
      <c r="Y36" t="s">
        <v>243</v>
      </c>
      <c r="Z36" s="189">
        <v>550</v>
      </c>
      <c r="AA36" s="148">
        <f t="shared" si="2"/>
        <v>0</v>
      </c>
    </row>
    <row r="37" ht="45.65" customHeight="1" spans="1:27" x14ac:dyDescent="0.25">
      <c r="A37" s="121">
        <f t="shared" si="4"/>
        <v>32</v>
      </c>
      <c r="B37" s="122" t="s">
        <v>231</v>
      </c>
      <c r="C37" s="123" t="s">
        <v>165</v>
      </c>
      <c r="D37" s="124" t="s">
        <v>97</v>
      </c>
      <c r="E37" s="124" t="s">
        <v>156</v>
      </c>
      <c r="F37" s="123" t="s">
        <v>164</v>
      </c>
      <c r="G37" s="122">
        <v>450</v>
      </c>
      <c r="H37" s="125">
        <v>26</v>
      </c>
      <c r="I37" s="125">
        <v>0</v>
      </c>
      <c r="J37" s="126">
        <f t="shared" si="0"/>
        <v>450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450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3"/>
        <v>450</v>
      </c>
      <c r="U37" s="132"/>
      <c r="V37" t="s">
        <v>207</v>
      </c>
      <c r="W37" s="132"/>
      <c r="X37" s="132"/>
      <c r="Y37" t="s">
        <v>243</v>
      </c>
      <c r="Z37" s="189">
        <v>450</v>
      </c>
      <c r="AA37" s="148">
        <f t="shared" si="2"/>
        <v>0</v>
      </c>
    </row>
    <row r="38" ht="45.65" customHeight="1" spans="1:27" x14ac:dyDescent="0.25">
      <c r="A38" s="121">
        <f t="shared" si="4"/>
        <v>33</v>
      </c>
      <c r="B38" s="122" t="s">
        <v>233</v>
      </c>
      <c r="C38" s="123" t="s">
        <v>166</v>
      </c>
      <c r="D38" s="124" t="s">
        <v>100</v>
      </c>
      <c r="E38" s="124" t="s">
        <v>98</v>
      </c>
      <c r="F38" s="123" t="s">
        <v>167</v>
      </c>
      <c r="G38" s="122">
        <v>260</v>
      </c>
      <c r="H38" s="125">
        <v>26</v>
      </c>
      <c r="I38" s="125">
        <v>0</v>
      </c>
      <c r="J38" s="126">
        <f t="shared" si="0"/>
        <v>260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260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3"/>
        <v>260</v>
      </c>
      <c r="U38" s="132"/>
      <c r="V38" t="s">
        <v>207</v>
      </c>
      <c r="W38" s="132"/>
      <c r="X38" s="132"/>
      <c r="Y38" t="s">
        <v>243</v>
      </c>
      <c r="Z38" s="189">
        <v>260</v>
      </c>
      <c r="AA38" s="148">
        <f t="shared" si="2"/>
        <v>0</v>
      </c>
    </row>
    <row r="39" ht="45.65" customHeight="1" spans="1:27" x14ac:dyDescent="0.25">
      <c r="A39" s="121">
        <f t="shared" si="4"/>
        <v>34</v>
      </c>
      <c r="B39" s="129" t="s">
        <v>261</v>
      </c>
      <c r="C39" s="130" t="s">
        <v>114</v>
      </c>
      <c r="D39" s="124" t="s">
        <v>100</v>
      </c>
      <c r="E39" s="124" t="s">
        <v>98</v>
      </c>
      <c r="F39" s="130" t="s">
        <v>59</v>
      </c>
      <c r="G39" s="129">
        <v>160</v>
      </c>
      <c r="H39" s="210">
        <v>26</v>
      </c>
      <c r="I39" s="125">
        <v>0</v>
      </c>
      <c r="J39" s="151">
        <f t="shared" si="0"/>
        <v>160</v>
      </c>
      <c r="K39" s="126">
        <v>0</v>
      </c>
      <c r="L39" s="151">
        <v>0</v>
      </c>
      <c r="M39" s="151">
        <v>0</v>
      </c>
      <c r="N39" s="151">
        <v>0</v>
      </c>
      <c r="O39" s="126">
        <f t="shared" si="1"/>
        <v>160</v>
      </c>
      <c r="P39" s="151">
        <v>0</v>
      </c>
      <c r="Q39" s="151">
        <v>0</v>
      </c>
      <c r="R39" s="151">
        <v>0</v>
      </c>
      <c r="S39" s="151">
        <v>0</v>
      </c>
      <c r="T39" s="211">
        <f t="shared" si="3"/>
        <v>160</v>
      </c>
      <c r="U39" s="132"/>
      <c r="W39" s="132"/>
      <c r="X39" s="132"/>
      <c r="Z39" s="189"/>
      <c r="AA39" s="148"/>
    </row>
    <row r="40" ht="45.65" customHeight="1" spans="1:27" s="213" customFormat="1" x14ac:dyDescent="0.25">
      <c r="A40" s="121">
        <f t="shared" si="4"/>
        <v>35</v>
      </c>
      <c r="B40" s="122" t="s">
        <v>279</v>
      </c>
      <c r="C40" s="123" t="s">
        <v>181</v>
      </c>
      <c r="D40" s="124" t="s">
        <v>177</v>
      </c>
      <c r="E40" s="124" t="s">
        <v>98</v>
      </c>
      <c r="F40" s="123" t="s">
        <v>178</v>
      </c>
      <c r="G40" s="122">
        <v>240</v>
      </c>
      <c r="H40" s="125">
        <v>26</v>
      </c>
      <c r="I40" s="125">
        <v>0</v>
      </c>
      <c r="J40" s="126">
        <f>G40/26*H40</f>
        <v>239.99999999999997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239.99999999999997</v>
      </c>
      <c r="P40" s="126">
        <v>0</v>
      </c>
      <c r="Q40" s="126">
        <v>9.81</v>
      </c>
      <c r="R40" s="126">
        <v>0</v>
      </c>
      <c r="S40" s="126">
        <v>0</v>
      </c>
      <c r="T40" s="127">
        <f>O40-P40-Q40-R40-S40</f>
        <v>230.18999999999997</v>
      </c>
      <c r="U40" s="132"/>
      <c r="V40" t="s">
        <v>205</v>
      </c>
      <c r="W40" s="132"/>
      <c r="X40" s="134"/>
      <c r="Z40" s="189">
        <v>120</v>
      </c>
      <c r="AA40" s="148">
        <f>T40-Z40</f>
        <v>110.18999999999997</v>
      </c>
    </row>
    <row r="41" ht="45.65" customHeight="1" spans="1:27" s="213" customFormat="1" x14ac:dyDescent="0.25">
      <c r="A41" s="121">
        <f t="shared" si="4"/>
        <v>36</v>
      </c>
      <c r="B41" s="122" t="s">
        <v>280</v>
      </c>
      <c r="C41" s="123" t="s">
        <v>192</v>
      </c>
      <c r="D41" s="124" t="s">
        <v>177</v>
      </c>
      <c r="E41" s="124" t="s">
        <v>98</v>
      </c>
      <c r="F41" s="123" t="s">
        <v>178</v>
      </c>
      <c r="G41" s="122">
        <v>120</v>
      </c>
      <c r="H41" s="125">
        <v>26</v>
      </c>
      <c r="I41" s="125">
        <v>0</v>
      </c>
      <c r="J41" s="126">
        <f>G41/26*H41</f>
        <v>119.99999999999999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119.99999999999999</v>
      </c>
      <c r="P41" s="126">
        <v>0</v>
      </c>
      <c r="Q41" s="126">
        <v>38.08</v>
      </c>
      <c r="R41" s="126">
        <v>0</v>
      </c>
      <c r="S41" s="126">
        <v>0</v>
      </c>
      <c r="T41" s="127">
        <f>O41-P41-Q41-R41-S41</f>
        <v>81.91999999999999</v>
      </c>
      <c r="U41" s="132"/>
      <c r="V41" t="s">
        <v>205</v>
      </c>
      <c r="W41" s="132"/>
      <c r="X41" s="134"/>
      <c r="Z41" s="189">
        <v>100</v>
      </c>
      <c r="AA41" s="148">
        <f>T41-Z41</f>
        <v>-18.080000000000013</v>
      </c>
    </row>
    <row r="42" ht="45.65" customHeight="1" spans="1:27" x14ac:dyDescent="0.25">
      <c r="A42" s="121">
        <f t="shared" si="4"/>
        <v>37</v>
      </c>
      <c r="B42" s="122" t="s">
        <v>281</v>
      </c>
      <c r="C42" s="171" t="s">
        <v>193</v>
      </c>
      <c r="D42" s="172" t="s">
        <v>177</v>
      </c>
      <c r="E42" s="124" t="s">
        <v>98</v>
      </c>
      <c r="F42" s="171" t="s">
        <v>194</v>
      </c>
      <c r="G42" s="170">
        <v>100</v>
      </c>
      <c r="H42" s="173">
        <v>26</v>
      </c>
      <c r="I42" s="125">
        <v>0</v>
      </c>
      <c r="J42" s="174">
        <f>G42/26*H42</f>
        <v>100</v>
      </c>
      <c r="K42" s="126">
        <v>0</v>
      </c>
      <c r="L42" s="174">
        <v>0</v>
      </c>
      <c r="M42" s="174">
        <v>0</v>
      </c>
      <c r="N42" s="174">
        <v>0</v>
      </c>
      <c r="O42" s="126">
        <f t="shared" si="1"/>
        <v>100</v>
      </c>
      <c r="P42" s="174">
        <v>0</v>
      </c>
      <c r="Q42" s="174">
        <v>0</v>
      </c>
      <c r="R42" s="174">
        <v>0</v>
      </c>
      <c r="S42" s="174">
        <v>0</v>
      </c>
      <c r="T42" s="175">
        <f>O42-P42-Q42-R42-S42</f>
        <v>100</v>
      </c>
      <c r="U42" s="132"/>
      <c r="V42" t="s">
        <v>205</v>
      </c>
      <c r="W42" s="132"/>
      <c r="X42" s="134"/>
      <c r="Z42" s="189">
        <v>250</v>
      </c>
      <c r="AA42" s="148">
        <f>T42-Z42</f>
        <v>-150</v>
      </c>
    </row>
    <row r="43" ht="45.65" customHeight="1" spans="1:27" x14ac:dyDescent="0.25">
      <c r="A43" s="121">
        <f t="shared" si="4"/>
        <v>38</v>
      </c>
      <c r="B43" s="122" t="s">
        <v>282</v>
      </c>
      <c r="C43" s="178" t="s">
        <v>195</v>
      </c>
      <c r="D43" s="179" t="s">
        <v>109</v>
      </c>
      <c r="E43" s="124" t="s">
        <v>98</v>
      </c>
      <c r="F43" s="178" t="s">
        <v>196</v>
      </c>
      <c r="G43" s="177">
        <v>250</v>
      </c>
      <c r="H43" s="180">
        <v>26</v>
      </c>
      <c r="I43" s="125">
        <v>0</v>
      </c>
      <c r="J43" s="181">
        <f t="shared" si="0"/>
        <v>250</v>
      </c>
      <c r="K43" s="126">
        <v>0</v>
      </c>
      <c r="L43" s="181">
        <v>0</v>
      </c>
      <c r="M43" s="181">
        <v>0</v>
      </c>
      <c r="N43" s="181">
        <v>0</v>
      </c>
      <c r="O43" s="126">
        <f t="shared" si="1"/>
        <v>250</v>
      </c>
      <c r="P43" s="181">
        <v>0</v>
      </c>
      <c r="Q43" s="181">
        <v>0</v>
      </c>
      <c r="R43" s="181">
        <v>0</v>
      </c>
      <c r="S43" s="181">
        <v>0</v>
      </c>
      <c r="T43" s="182">
        <f t="shared" si="3"/>
        <v>250</v>
      </c>
      <c r="U43" s="132"/>
      <c r="V43" t="s">
        <v>205</v>
      </c>
      <c r="W43" s="132"/>
      <c r="X43" s="134"/>
      <c r="Z43" s="189">
        <v>120</v>
      </c>
      <c r="AA43" s="148">
        <f t="shared" si="2"/>
        <v>130</v>
      </c>
    </row>
    <row r="44" ht="45.65" customHeight="1" spans="1:27" x14ac:dyDescent="0.25">
      <c r="A44" s="121">
        <f t="shared" si="4"/>
        <v>39</v>
      </c>
      <c r="B44" s="122" t="s">
        <v>283</v>
      </c>
      <c r="C44" s="155" t="s">
        <v>197</v>
      </c>
      <c r="D44" s="154" t="s">
        <v>177</v>
      </c>
      <c r="E44" s="124" t="s">
        <v>98</v>
      </c>
      <c r="F44" s="155" t="s">
        <v>198</v>
      </c>
      <c r="G44" s="157">
        <v>100</v>
      </c>
      <c r="H44" s="125">
        <v>26</v>
      </c>
      <c r="I44" s="125">
        <v>0</v>
      </c>
      <c r="J44" s="126">
        <f t="shared" si="0"/>
        <v>100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100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3"/>
        <v>100</v>
      </c>
      <c r="U44" s="132"/>
      <c r="V44" t="s">
        <v>205</v>
      </c>
      <c r="W44" s="132"/>
      <c r="X44" s="134"/>
      <c r="Z44" s="189">
        <v>150</v>
      </c>
      <c r="AA44" s="148">
        <f t="shared" si="2"/>
        <v>-50</v>
      </c>
    </row>
    <row r="45" ht="45.65" customHeight="1" spans="1:27" x14ac:dyDescent="0.25">
      <c r="A45" s="121">
        <f t="shared" si="4"/>
        <v>40</v>
      </c>
      <c r="B45" s="122" t="s">
        <v>284</v>
      </c>
      <c r="C45" s="155" t="s">
        <v>199</v>
      </c>
      <c r="D45" s="154" t="s">
        <v>177</v>
      </c>
      <c r="E45" s="124" t="s">
        <v>98</v>
      </c>
      <c r="F45" s="155" t="s">
        <v>200</v>
      </c>
      <c r="G45" s="157">
        <v>150</v>
      </c>
      <c r="H45" s="125">
        <v>26</v>
      </c>
      <c r="I45" s="125">
        <v>0</v>
      </c>
      <c r="J45" s="126">
        <f t="shared" si="0"/>
        <v>150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150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3"/>
        <v>150</v>
      </c>
      <c r="U45" s="132"/>
      <c r="V45" t="s">
        <v>205</v>
      </c>
      <c r="W45" s="132"/>
      <c r="X45" s="134"/>
      <c r="Z45" s="189">
        <v>100</v>
      </c>
      <c r="AA45" s="148">
        <f t="shared" si="2"/>
        <v>50</v>
      </c>
    </row>
    <row r="46" ht="45.65" customHeight="1" spans="1:27" x14ac:dyDescent="0.25">
      <c r="A46" s="121">
        <f t="shared" si="4"/>
        <v>41</v>
      </c>
      <c r="B46" s="122" t="s">
        <v>285</v>
      </c>
      <c r="C46" s="155" t="s">
        <v>250</v>
      </c>
      <c r="D46" s="154" t="s">
        <v>177</v>
      </c>
      <c r="E46" s="154" t="s">
        <v>98</v>
      </c>
      <c r="F46" s="155" t="s">
        <v>198</v>
      </c>
      <c r="G46" s="157">
        <v>100</v>
      </c>
      <c r="H46" s="125">
        <v>26</v>
      </c>
      <c r="I46" s="125">
        <v>0</v>
      </c>
      <c r="J46" s="126">
        <f t="shared" si="0"/>
        <v>100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100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100</v>
      </c>
      <c r="U46" s="132"/>
      <c r="V46" t="s">
        <v>205</v>
      </c>
      <c r="W46" s="132"/>
      <c r="X46" s="134"/>
      <c r="Z46" s="189">
        <v>238.85</v>
      </c>
      <c r="AA46" s="148">
        <f t="shared" si="2"/>
        <v>-138.85</v>
      </c>
    </row>
    <row r="47" ht="45.65" customHeight="1" spans="1:27" x14ac:dyDescent="0.25">
      <c r="A47" s="121">
        <f t="shared" si="4"/>
        <v>42</v>
      </c>
      <c r="B47" s="122" t="s">
        <v>252</v>
      </c>
      <c r="C47" s="155" t="s">
        <v>253</v>
      </c>
      <c r="D47" s="154" t="s">
        <v>100</v>
      </c>
      <c r="E47" s="154" t="s">
        <v>98</v>
      </c>
      <c r="F47" s="155"/>
      <c r="G47" s="157">
        <v>500</v>
      </c>
      <c r="H47" s="125">
        <v>26</v>
      </c>
      <c r="I47" s="125">
        <v>0</v>
      </c>
      <c r="J47" s="126">
        <f t="shared" si="0"/>
        <v>500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500</v>
      </c>
      <c r="P47" s="126">
        <v>0</v>
      </c>
      <c r="Q47" s="126">
        <v>0</v>
      </c>
      <c r="R47" s="126">
        <v>0</v>
      </c>
      <c r="S47" s="126">
        <v>0</v>
      </c>
      <c r="T47" s="127">
        <f>O47-P47-Q47-R47-S47</f>
        <v>500</v>
      </c>
      <c r="U47" s="132"/>
      <c r="W47" s="132"/>
      <c r="X47" s="134"/>
      <c r="Y47" t="s">
        <v>243</v>
      </c>
      <c r="Z47" s="189">
        <v>350</v>
      </c>
      <c r="AA47" s="148">
        <f t="shared" si="2"/>
        <v>150</v>
      </c>
    </row>
    <row r="48" ht="45.65" customHeight="1" spans="1:27" x14ac:dyDescent="0.25">
      <c r="A48" s="121">
        <f t="shared" si="4"/>
        <v>43</v>
      </c>
      <c r="B48" s="122" t="s">
        <v>287</v>
      </c>
      <c r="C48" s="155" t="s">
        <v>254</v>
      </c>
      <c r="D48" s="154" t="s">
        <v>100</v>
      </c>
      <c r="E48" s="154" t="s">
        <v>98</v>
      </c>
      <c r="F48" s="155"/>
      <c r="G48" s="157">
        <v>350</v>
      </c>
      <c r="H48" s="125">
        <v>26</v>
      </c>
      <c r="I48" s="125">
        <v>0</v>
      </c>
      <c r="J48" s="126">
        <f t="shared" si="0"/>
        <v>350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350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3"/>
        <v>350</v>
      </c>
      <c r="U48" s="132"/>
      <c r="W48" s="132"/>
      <c r="X48" s="134"/>
      <c r="Z48" s="189">
        <v>600</v>
      </c>
      <c r="AA48" s="148">
        <f t="shared" si="2"/>
        <v>-250</v>
      </c>
    </row>
    <row r="49" ht="45.65" customHeight="1" spans="1:27" x14ac:dyDescent="0.25">
      <c r="A49" s="121">
        <f t="shared" si="4"/>
        <v>44</v>
      </c>
      <c r="B49" s="122" t="s">
        <v>288</v>
      </c>
      <c r="C49" s="155" t="s">
        <v>289</v>
      </c>
      <c r="D49" s="154" t="s">
        <v>100</v>
      </c>
      <c r="E49" s="154" t="s">
        <v>98</v>
      </c>
      <c r="F49" s="155"/>
      <c r="G49" s="157">
        <v>80</v>
      </c>
      <c r="H49" s="125">
        <v>26</v>
      </c>
      <c r="I49" s="125">
        <v>0</v>
      </c>
      <c r="J49" s="126">
        <f t="shared" si="0"/>
        <v>80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80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80</v>
      </c>
      <c r="U49" s="132"/>
      <c r="W49" s="132"/>
      <c r="X49" s="134"/>
      <c r="Z49" s="189"/>
      <c r="AA49" s="148"/>
    </row>
    <row r="50" ht="45.65" customHeight="1" spans="1:27" x14ac:dyDescent="0.25">
      <c r="A50" s="121">
        <f t="shared" si="4"/>
        <v>45</v>
      </c>
      <c r="B50" s="122" t="s">
        <v>290</v>
      </c>
      <c r="C50" s="155" t="s">
        <v>291</v>
      </c>
      <c r="D50" s="154" t="s">
        <v>100</v>
      </c>
      <c r="E50" s="154" t="s">
        <v>98</v>
      </c>
      <c r="F50" s="155"/>
      <c r="G50" s="157">
        <v>60</v>
      </c>
      <c r="H50" s="125">
        <v>26</v>
      </c>
      <c r="I50" s="125">
        <v>0</v>
      </c>
      <c r="J50" s="126">
        <f t="shared" si="0"/>
        <v>59.99999999999999</v>
      </c>
      <c r="K50" s="126">
        <v>0</v>
      </c>
      <c r="L50" s="126">
        <v>60</v>
      </c>
      <c r="M50" s="126">
        <v>0</v>
      </c>
      <c r="N50" s="126">
        <v>0</v>
      </c>
      <c r="O50" s="126">
        <f t="shared" si="1"/>
        <v>120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3"/>
        <v>120</v>
      </c>
      <c r="U50" s="132"/>
      <c r="W50" s="132"/>
      <c r="X50" s="134"/>
      <c r="Z50" s="189"/>
      <c r="AA50" s="148"/>
    </row>
    <row r="51" ht="45.65" customHeight="1" spans="1:27" x14ac:dyDescent="0.25">
      <c r="A51" s="121">
        <f t="shared" si="4"/>
        <v>46</v>
      </c>
      <c r="B51" s="122" t="s">
        <v>295</v>
      </c>
      <c r="C51" s="155" t="s">
        <v>296</v>
      </c>
      <c r="D51" s="154"/>
      <c r="E51" s="154"/>
      <c r="F51" s="155"/>
      <c r="G51" s="157">
        <v>270</v>
      </c>
      <c r="H51" s="125">
        <v>26</v>
      </c>
      <c r="I51" s="125">
        <v>0</v>
      </c>
      <c r="J51" s="126">
        <f t="shared" si="0"/>
        <v>270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270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3"/>
        <v>270</v>
      </c>
      <c r="U51" s="132"/>
      <c r="W51" s="132"/>
      <c r="X51" s="134"/>
      <c r="Z51" s="189"/>
      <c r="AA51" s="148"/>
    </row>
    <row r="52" ht="45.65" customHeight="1" spans="1:27" x14ac:dyDescent="0.25">
      <c r="A52" s="121">
        <f t="shared" si="4"/>
        <v>47</v>
      </c>
      <c r="B52" s="122" t="s">
        <v>297</v>
      </c>
      <c r="C52" s="155" t="s">
        <v>298</v>
      </c>
      <c r="D52" s="154"/>
      <c r="E52" s="154"/>
      <c r="F52" s="155"/>
      <c r="G52" s="157">
        <v>80</v>
      </c>
      <c r="H52" s="125">
        <v>26</v>
      </c>
      <c r="I52" s="125">
        <v>0</v>
      </c>
      <c r="J52" s="126">
        <f t="shared" si="0"/>
        <v>80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80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3"/>
        <v>80</v>
      </c>
      <c r="U52" s="132"/>
      <c r="W52" s="132"/>
      <c r="X52" s="134"/>
      <c r="Z52" s="189"/>
      <c r="AA52" s="148"/>
    </row>
    <row r="53" ht="45.65" customHeight="1" spans="1:27" x14ac:dyDescent="0.25">
      <c r="A53" s="121">
        <f t="shared" si="4"/>
        <v>48</v>
      </c>
      <c r="B53" s="122" t="s">
        <v>277</v>
      </c>
      <c r="C53" s="123" t="s">
        <v>176</v>
      </c>
      <c r="D53" s="124" t="s">
        <v>177</v>
      </c>
      <c r="E53" s="124" t="s">
        <v>98</v>
      </c>
      <c r="F53" s="123" t="s">
        <v>178</v>
      </c>
      <c r="G53" s="122">
        <v>80</v>
      </c>
      <c r="H53" s="125">
        <v>26</v>
      </c>
      <c r="I53" s="125">
        <v>0</v>
      </c>
      <c r="J53" s="126">
        <f>G53/26*H53</f>
        <v>80</v>
      </c>
      <c r="K53" s="126">
        <v>0</v>
      </c>
      <c r="L53" s="126">
        <v>70</v>
      </c>
      <c r="M53" s="126">
        <v>0</v>
      </c>
      <c r="N53" s="126">
        <v>0</v>
      </c>
      <c r="O53" s="126">
        <f t="shared" si="1"/>
        <v>150</v>
      </c>
      <c r="P53" s="126">
        <v>0</v>
      </c>
      <c r="Q53" s="126">
        <v>4.62</v>
      </c>
      <c r="R53" s="126">
        <v>0</v>
      </c>
      <c r="S53" s="126">
        <v>0</v>
      </c>
      <c r="T53" s="127">
        <f>O53-P53-Q53-R53-S53</f>
        <v>145.38</v>
      </c>
      <c r="U53" s="132"/>
      <c r="V53" t="s">
        <v>205</v>
      </c>
      <c r="W53" s="132"/>
      <c r="X53" s="134"/>
      <c r="Z53" s="189">
        <v>80</v>
      </c>
      <c r="AA53" s="148">
        <f>T53-Z53</f>
        <v>65.38</v>
      </c>
    </row>
    <row r="54" ht="45.65" customHeight="1" spans="1:27" x14ac:dyDescent="0.25">
      <c r="A54" s="121">
        <f t="shared" si="4"/>
        <v>49</v>
      </c>
      <c r="B54" s="122" t="s">
        <v>299</v>
      </c>
      <c r="C54" s="123" t="s">
        <v>300</v>
      </c>
      <c r="D54" s="124"/>
      <c r="E54" s="124"/>
      <c r="F54" s="123"/>
      <c r="G54" s="122">
        <v>250</v>
      </c>
      <c r="H54" s="125">
        <v>26</v>
      </c>
      <c r="I54" s="125">
        <v>0</v>
      </c>
      <c r="J54" s="126">
        <f>G54/26*H54</f>
        <v>250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250</v>
      </c>
      <c r="P54" s="126"/>
      <c r="Q54" s="126"/>
      <c r="R54" s="126"/>
      <c r="S54" s="126"/>
      <c r="T54" s="127">
        <f t="shared" ref="T54:T61" si="5">O54-P54-Q54-R54-S54</f>
        <v>250</v>
      </c>
      <c r="U54" s="132"/>
      <c r="W54" s="132"/>
      <c r="X54" s="134"/>
      <c r="Z54" s="189"/>
      <c r="AA54" s="148"/>
    </row>
    <row r="55" ht="45.65" customHeight="1" spans="1:27" x14ac:dyDescent="0.25">
      <c r="A55" s="121">
        <f t="shared" si="4"/>
        <v>50</v>
      </c>
      <c r="B55" s="122" t="s">
        <v>237</v>
      </c>
      <c r="C55" s="155" t="s">
        <v>201</v>
      </c>
      <c r="D55" s="154" t="s">
        <v>97</v>
      </c>
      <c r="E55" s="154" t="s">
        <v>98</v>
      </c>
      <c r="F55" s="155"/>
      <c r="G55" s="156">
        <v>600</v>
      </c>
      <c r="H55" s="125">
        <v>26</v>
      </c>
      <c r="I55" s="125">
        <v>0</v>
      </c>
      <c r="J55" s="126">
        <f t="shared" si="0"/>
        <v>600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600</v>
      </c>
      <c r="P55" s="126">
        <v>0</v>
      </c>
      <c r="Q55" s="151">
        <v>0</v>
      </c>
      <c r="R55" s="126">
        <v>0</v>
      </c>
      <c r="S55" s="152">
        <v>176.3</v>
      </c>
      <c r="T55" s="127">
        <f t="shared" si="5"/>
        <v>423.7</v>
      </c>
      <c r="U55" s="132" t="s">
        <v>57</v>
      </c>
      <c r="V55" t="s">
        <v>207</v>
      </c>
      <c r="W55" s="132">
        <v>600</v>
      </c>
      <c r="X55" s="134">
        <v>-176.3</v>
      </c>
      <c r="Y55" t="s">
        <v>243</v>
      </c>
      <c r="Z55" s="189">
        <v>422.65</v>
      </c>
      <c r="AA55" s="148">
        <f t="shared" si="2"/>
        <v>1.0500000000000114</v>
      </c>
    </row>
    <row r="56" ht="45.65" customHeight="1" spans="1:25" x14ac:dyDescent="0.25">
      <c r="A56" s="121">
        <f t="shared" si="4"/>
        <v>51</v>
      </c>
      <c r="B56" s="122" t="s">
        <v>238</v>
      </c>
      <c r="C56" s="155" t="s">
        <v>202</v>
      </c>
      <c r="D56" s="154" t="s">
        <v>97</v>
      </c>
      <c r="E56" s="154" t="s">
        <v>156</v>
      </c>
      <c r="F56" s="155" t="s">
        <v>301</v>
      </c>
      <c r="G56" s="156">
        <v>422.6</v>
      </c>
      <c r="H56" s="125">
        <v>26</v>
      </c>
      <c r="I56" s="125">
        <v>0</v>
      </c>
      <c r="J56" s="126">
        <f t="shared" si="0"/>
        <v>422.6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422.6</v>
      </c>
      <c r="P56" s="126">
        <v>0</v>
      </c>
      <c r="Q56" s="126">
        <v>195.05</v>
      </c>
      <c r="R56" s="126">
        <v>0</v>
      </c>
      <c r="S56" s="126">
        <v>0</v>
      </c>
      <c r="T56" s="127">
        <f t="shared" si="5"/>
        <v>227.55</v>
      </c>
      <c r="U56" s="132"/>
      <c r="V56" t="s">
        <v>207</v>
      </c>
      <c r="W56" s="132"/>
      <c r="X56" s="134"/>
      <c r="Y56" t="s">
        <v>243</v>
      </c>
    </row>
    <row r="57" ht="45.65" customHeight="1" spans="1:25" x14ac:dyDescent="0.25">
      <c r="A57" s="121">
        <f t="shared" si="4"/>
        <v>52</v>
      </c>
      <c r="B57" s="122" t="s">
        <v>239</v>
      </c>
      <c r="C57" s="155" t="s">
        <v>170</v>
      </c>
      <c r="D57" s="154"/>
      <c r="E57" s="154" t="s">
        <v>171</v>
      </c>
      <c r="F57" s="155"/>
      <c r="G57" s="157">
        <v>300</v>
      </c>
      <c r="H57" s="125">
        <v>26</v>
      </c>
      <c r="I57" s="125">
        <v>0</v>
      </c>
      <c r="J57" s="126">
        <f t="shared" si="0"/>
        <v>300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300</v>
      </c>
      <c r="P57" s="126">
        <v>0</v>
      </c>
      <c r="Q57" s="151">
        <v>0</v>
      </c>
      <c r="R57" s="126">
        <v>0</v>
      </c>
      <c r="S57" s="152">
        <v>300</v>
      </c>
      <c r="T57" s="127">
        <f t="shared" si="5"/>
        <v>0</v>
      </c>
      <c r="U57" s="132" t="s">
        <v>57</v>
      </c>
      <c r="V57" t="s">
        <v>207</v>
      </c>
      <c r="W57" s="132">
        <v>300</v>
      </c>
      <c r="X57" s="134">
        <v>-300</v>
      </c>
      <c r="Y57" t="s">
        <v>243</v>
      </c>
    </row>
    <row r="58" ht="45.65" customHeight="1" spans="1:25" x14ac:dyDescent="0.25">
      <c r="A58" s="121">
        <f t="shared" si="4"/>
        <v>53</v>
      </c>
      <c r="B58" s="122" t="s">
        <v>240</v>
      </c>
      <c r="C58" s="155" t="s">
        <v>172</v>
      </c>
      <c r="D58" s="154"/>
      <c r="E58" s="154" t="s">
        <v>171</v>
      </c>
      <c r="F58" s="155"/>
      <c r="G58" s="157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51">
        <v>0</v>
      </c>
      <c r="R58" s="126">
        <v>0</v>
      </c>
      <c r="S58" s="152">
        <v>600</v>
      </c>
      <c r="T58" s="127">
        <f t="shared" si="5"/>
        <v>0</v>
      </c>
      <c r="U58" s="131" t="s">
        <v>57</v>
      </c>
      <c r="V58" t="s">
        <v>207</v>
      </c>
      <c r="W58" s="132">
        <v>600</v>
      </c>
      <c r="X58" s="134">
        <v>-600</v>
      </c>
      <c r="Y58" t="s">
        <v>243</v>
      </c>
    </row>
    <row r="59" ht="45.65" customHeight="1" spans="1:24" x14ac:dyDescent="0.25">
      <c r="A59" s="121">
        <f t="shared" si="4"/>
        <v>54</v>
      </c>
      <c r="B59" s="122"/>
      <c r="C59" s="155"/>
      <c r="D59" s="154"/>
      <c r="E59" s="154"/>
      <c r="F59" s="155"/>
      <c r="G59" s="157"/>
      <c r="H59" s="125">
        <v>26</v>
      </c>
      <c r="I59" s="125">
        <v>0</v>
      </c>
      <c r="J59" s="126">
        <f t="shared" si="0"/>
        <v>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5"/>
        <v>0</v>
      </c>
      <c r="U59" s="128"/>
      <c r="W59" s="132"/>
      <c r="X59" s="134"/>
    </row>
    <row r="60" ht="45.65" customHeight="1" spans="1:24" x14ac:dyDescent="0.25">
      <c r="A60" s="121">
        <f t="shared" si="4"/>
        <v>55</v>
      </c>
      <c r="B60" s="122"/>
      <c r="C60" s="155"/>
      <c r="D60" s="154"/>
      <c r="E60" s="154"/>
      <c r="F60" s="155"/>
      <c r="G60" s="157"/>
      <c r="H60" s="125">
        <v>26</v>
      </c>
      <c r="I60" s="125">
        <v>0</v>
      </c>
      <c r="J60" s="126">
        <f t="shared" si="0"/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0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5"/>
        <v>0</v>
      </c>
      <c r="U60" s="128"/>
      <c r="W60" s="132"/>
      <c r="X60" s="134"/>
    </row>
    <row r="61" ht="45.65" customHeight="1" spans="1:24" x14ac:dyDescent="0.25">
      <c r="A61" s="121">
        <f t="shared" si="4"/>
        <v>56</v>
      </c>
      <c r="B61" s="122"/>
      <c r="C61" s="160"/>
      <c r="D61" s="161"/>
      <c r="E61" s="161"/>
      <c r="F61" s="160"/>
      <c r="G61" s="162"/>
      <c r="H61" s="163">
        <v>26</v>
      </c>
      <c r="I61" s="125">
        <v>0</v>
      </c>
      <c r="J61" s="164">
        <f t="shared" si="0"/>
        <v>0</v>
      </c>
      <c r="K61" s="126">
        <v>0</v>
      </c>
      <c r="L61" s="164">
        <v>0</v>
      </c>
      <c r="M61" s="164">
        <v>0</v>
      </c>
      <c r="N61" s="164">
        <v>0</v>
      </c>
      <c r="O61" s="126">
        <f t="shared" si="1"/>
        <v>0</v>
      </c>
      <c r="P61" s="164">
        <v>0</v>
      </c>
      <c r="Q61" s="164">
        <v>0</v>
      </c>
      <c r="R61" s="164">
        <v>0</v>
      </c>
      <c r="S61" s="164">
        <v>0</v>
      </c>
      <c r="T61" s="127">
        <f t="shared" si="5"/>
        <v>0</v>
      </c>
      <c r="U61" s="166"/>
      <c r="W61" s="132"/>
      <c r="X61" s="134"/>
    </row>
    <row r="62" ht="50.15" customHeight="1" spans="1:24" x14ac:dyDescent="0.25">
      <c r="A62" s="184" t="s">
        <v>26</v>
      </c>
      <c r="B62" s="185"/>
      <c r="C62" s="185"/>
      <c r="D62" s="185"/>
      <c r="E62" s="185"/>
      <c r="F62" s="185"/>
      <c r="G62" s="185"/>
      <c r="H62" s="185"/>
      <c r="I62" s="186"/>
      <c r="J62" s="146">
        <f t="shared" ref="J62:T62" si="6">SUBTOTAL(9,J6:J61)</f>
        <v>14497.6</v>
      </c>
      <c r="K62" s="146">
        <f t="shared" si="6"/>
        <v>0</v>
      </c>
      <c r="L62" s="146">
        <f t="shared" si="6"/>
        <v>130</v>
      </c>
      <c r="M62" s="146">
        <f t="shared" si="6"/>
        <v>0</v>
      </c>
      <c r="N62" s="146">
        <f t="shared" si="6"/>
        <v>300</v>
      </c>
      <c r="O62" s="146">
        <f t="shared" si="6"/>
        <v>14927.6</v>
      </c>
      <c r="P62" s="146">
        <f t="shared" si="6"/>
        <v>0</v>
      </c>
      <c r="Q62" s="146">
        <f t="shared" si="6"/>
        <v>438.55</v>
      </c>
      <c r="R62" s="146">
        <f t="shared" si="6"/>
        <v>150</v>
      </c>
      <c r="S62" s="167">
        <f t="shared" si="6"/>
        <v>1276.3</v>
      </c>
      <c r="T62" s="147">
        <f t="shared" si="6"/>
        <v>13062.75</v>
      </c>
      <c r="U62" s="146"/>
      <c r="W62" s="146">
        <f t="shared" ref="W62:X62" si="7">SUBTOTAL(9,W6:W61)</f>
        <v>2100</v>
      </c>
      <c r="X62" s="146">
        <f t="shared" si="7"/>
        <v>-1276.3</v>
      </c>
    </row>
    <row r="66" spans="15:18" x14ac:dyDescent="0.25">
      <c r="O66" s="148"/>
      <c r="R66" s="148"/>
    </row>
  </sheetData>
  <autoFilter ref="A5:X61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14" t="s">
        <v>302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</row>
    <row r="2" ht="25.5" customHeight="1" spans="1:22" x14ac:dyDescent="0.25">
      <c r="A2" s="216" t="s">
        <v>303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</row>
    <row r="3" ht="25.5" customHeight="1" spans="1:22" x14ac:dyDescent="0.25">
      <c r="A3" s="216" t="s">
        <v>28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</row>
    <row r="4" ht="30" customHeight="1" spans="1:22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7" t="s">
        <v>9</v>
      </c>
      <c r="F4" s="117" t="s">
        <v>10</v>
      </c>
      <c r="G4" s="117" t="s">
        <v>304</v>
      </c>
      <c r="H4" s="119" t="s">
        <v>12</v>
      </c>
      <c r="I4" s="119"/>
      <c r="J4" s="119"/>
      <c r="K4" s="119"/>
      <c r="L4" s="119"/>
      <c r="M4" s="119"/>
      <c r="N4" s="119" t="s">
        <v>13</v>
      </c>
      <c r="O4" s="119"/>
      <c r="P4" s="119"/>
      <c r="Q4" s="119"/>
      <c r="R4" s="117" t="s">
        <v>14</v>
      </c>
      <c r="S4" s="120" t="s">
        <v>305</v>
      </c>
      <c r="T4" s="120" t="s">
        <v>306</v>
      </c>
      <c r="U4" s="120" t="s">
        <v>307</v>
      </c>
      <c r="V4" s="117" t="s">
        <v>15</v>
      </c>
    </row>
    <row r="5" ht="65.5" customHeight="1" spans="1:22" s="115" customFormat="1" x14ac:dyDescent="0.25">
      <c r="A5" s="116"/>
      <c r="B5" s="117"/>
      <c r="C5" s="117"/>
      <c r="D5" s="118"/>
      <c r="E5" s="117"/>
      <c r="F5" s="117"/>
      <c r="G5" s="117"/>
      <c r="H5" s="120" t="s">
        <v>16</v>
      </c>
      <c r="I5" s="120" t="s">
        <v>17</v>
      </c>
      <c r="J5" s="120" t="s">
        <v>18</v>
      </c>
      <c r="K5" s="120" t="s">
        <v>31</v>
      </c>
      <c r="L5" s="120" t="s">
        <v>21</v>
      </c>
      <c r="M5" s="120" t="s">
        <v>22</v>
      </c>
      <c r="N5" s="120" t="s">
        <v>23</v>
      </c>
      <c r="O5" s="120" t="s">
        <v>24</v>
      </c>
      <c r="P5" s="120" t="s">
        <v>25</v>
      </c>
      <c r="Q5" s="218" t="s">
        <v>21</v>
      </c>
      <c r="R5" s="117"/>
      <c r="S5" s="219"/>
      <c r="T5" s="219"/>
      <c r="U5" s="220"/>
      <c r="V5" s="117"/>
    </row>
    <row r="6" ht="51.75" customHeight="1" spans="1:22" s="115" customFormat="1" x14ac:dyDescent="0.25">
      <c r="A6" s="221">
        <v>1</v>
      </c>
      <c r="B6" s="222" t="s">
        <v>308</v>
      </c>
      <c r="C6" s="223" t="s">
        <v>309</v>
      </c>
      <c r="D6" s="224" t="s">
        <v>308</v>
      </c>
      <c r="E6" s="225">
        <v>500</v>
      </c>
      <c r="F6" s="226">
        <v>26</v>
      </c>
      <c r="G6" s="226">
        <v>0</v>
      </c>
      <c r="H6" s="227">
        <v>500</v>
      </c>
      <c r="I6" s="227">
        <v>0</v>
      </c>
      <c r="J6" s="227">
        <v>0</v>
      </c>
      <c r="K6" s="227">
        <v>0</v>
      </c>
      <c r="L6" s="227">
        <v>0</v>
      </c>
      <c r="M6" s="227">
        <v>500</v>
      </c>
      <c r="N6" s="227">
        <v>0</v>
      </c>
      <c r="O6" s="227">
        <v>0</v>
      </c>
      <c r="P6" s="227">
        <v>0</v>
      </c>
      <c r="Q6" s="228">
        <v>0</v>
      </c>
      <c r="R6" s="229">
        <v>500</v>
      </c>
      <c r="S6" s="230">
        <v>500</v>
      </c>
      <c r="T6" s="230" t="s">
        <v>310</v>
      </c>
      <c r="U6" s="229">
        <v>0</v>
      </c>
      <c r="V6" s="231" t="s">
        <v>308</v>
      </c>
    </row>
    <row r="7" ht="45.65" customHeight="1" spans="1:22" x14ac:dyDescent="0.25">
      <c r="A7" s="221">
        <v>2</v>
      </c>
      <c r="B7" s="222" t="s">
        <v>308</v>
      </c>
      <c r="C7" s="232" t="s">
        <v>309</v>
      </c>
      <c r="D7" s="224" t="s">
        <v>308</v>
      </c>
      <c r="E7" s="222">
        <v>500</v>
      </c>
      <c r="F7" s="226">
        <v>26</v>
      </c>
      <c r="G7" s="226">
        <v>0</v>
      </c>
      <c r="H7" s="227">
        <v>500</v>
      </c>
      <c r="I7" s="227">
        <v>0</v>
      </c>
      <c r="J7" s="227">
        <v>0</v>
      </c>
      <c r="K7" s="227">
        <v>0</v>
      </c>
      <c r="L7" s="227">
        <v>0</v>
      </c>
      <c r="M7" s="227">
        <v>500</v>
      </c>
      <c r="N7" s="227">
        <v>0</v>
      </c>
      <c r="O7" s="227">
        <v>0</v>
      </c>
      <c r="P7" s="227">
        <v>0</v>
      </c>
      <c r="Q7" s="228">
        <v>0</v>
      </c>
      <c r="R7" s="229">
        <v>500</v>
      </c>
      <c r="S7" s="229">
        <v>500</v>
      </c>
      <c r="T7" s="229" t="s">
        <v>310</v>
      </c>
      <c r="U7" s="229">
        <v>0</v>
      </c>
      <c r="V7" s="231" t="s">
        <v>308</v>
      </c>
    </row>
    <row r="8" ht="45.65" customHeight="1" spans="1:22" x14ac:dyDescent="0.25">
      <c r="A8" s="221">
        <v>3</v>
      </c>
      <c r="B8" s="222" t="s">
        <v>308</v>
      </c>
      <c r="C8" s="232" t="s">
        <v>309</v>
      </c>
      <c r="D8" s="224" t="s">
        <v>308</v>
      </c>
      <c r="E8" s="222">
        <v>500</v>
      </c>
      <c r="F8" s="226">
        <v>26</v>
      </c>
      <c r="G8" s="226">
        <v>0</v>
      </c>
      <c r="H8" s="227">
        <v>500</v>
      </c>
      <c r="I8" s="227">
        <v>0</v>
      </c>
      <c r="J8" s="227">
        <v>0</v>
      </c>
      <c r="K8" s="227">
        <v>0</v>
      </c>
      <c r="L8" s="227">
        <v>0</v>
      </c>
      <c r="M8" s="227">
        <v>500</v>
      </c>
      <c r="N8" s="227">
        <v>0</v>
      </c>
      <c r="O8" s="227">
        <v>0</v>
      </c>
      <c r="P8" s="227">
        <v>0</v>
      </c>
      <c r="Q8" s="228">
        <v>0</v>
      </c>
      <c r="R8" s="229">
        <v>500</v>
      </c>
      <c r="S8" s="229">
        <v>500</v>
      </c>
      <c r="T8" s="229" t="s">
        <v>310</v>
      </c>
      <c r="U8" s="229">
        <v>0</v>
      </c>
      <c r="V8" s="231" t="s">
        <v>308</v>
      </c>
    </row>
    <row r="9" ht="45.65" customHeight="1" spans="1:22" x14ac:dyDescent="0.25">
      <c r="A9" s="221">
        <v>4</v>
      </c>
      <c r="B9" s="222" t="s">
        <v>308</v>
      </c>
      <c r="C9" s="223" t="s">
        <v>309</v>
      </c>
      <c r="D9" s="224" t="s">
        <v>308</v>
      </c>
      <c r="E9" s="222">
        <v>500</v>
      </c>
      <c r="F9" s="226">
        <v>26</v>
      </c>
      <c r="G9" s="226">
        <v>0</v>
      </c>
      <c r="H9" s="227">
        <v>500</v>
      </c>
      <c r="I9" s="227">
        <v>0</v>
      </c>
      <c r="J9" s="227">
        <v>0</v>
      </c>
      <c r="K9" s="227">
        <v>0</v>
      </c>
      <c r="L9" s="227">
        <v>0</v>
      </c>
      <c r="M9" s="227">
        <v>500</v>
      </c>
      <c r="N9" s="227">
        <v>0</v>
      </c>
      <c r="O9" s="227">
        <v>0</v>
      </c>
      <c r="P9" s="227">
        <v>0</v>
      </c>
      <c r="Q9" s="228">
        <v>0</v>
      </c>
      <c r="R9" s="229">
        <v>500</v>
      </c>
      <c r="S9" s="229">
        <v>500</v>
      </c>
      <c r="T9" s="229" t="s">
        <v>310</v>
      </c>
      <c r="U9" s="229">
        <v>0</v>
      </c>
      <c r="V9" s="231" t="s">
        <v>308</v>
      </c>
    </row>
    <row r="10" ht="45.65" customHeight="1" spans="1:22" x14ac:dyDescent="0.25">
      <c r="A10" s="221">
        <v>5</v>
      </c>
      <c r="B10" s="222" t="s">
        <v>308</v>
      </c>
      <c r="C10" s="223" t="s">
        <v>309</v>
      </c>
      <c r="D10" s="224" t="s">
        <v>308</v>
      </c>
      <c r="E10" s="222">
        <v>500</v>
      </c>
      <c r="F10" s="226">
        <v>26</v>
      </c>
      <c r="G10" s="226">
        <v>0</v>
      </c>
      <c r="H10" s="227">
        <v>500</v>
      </c>
      <c r="I10" s="227">
        <v>0</v>
      </c>
      <c r="J10" s="227">
        <v>0</v>
      </c>
      <c r="K10" s="227">
        <v>0</v>
      </c>
      <c r="L10" s="227">
        <v>0</v>
      </c>
      <c r="M10" s="227">
        <v>500</v>
      </c>
      <c r="N10" s="227">
        <v>0</v>
      </c>
      <c r="O10" s="227">
        <v>0</v>
      </c>
      <c r="P10" s="227">
        <v>0</v>
      </c>
      <c r="Q10" s="228">
        <v>0</v>
      </c>
      <c r="R10" s="229">
        <v>500</v>
      </c>
      <c r="S10" s="229">
        <v>500</v>
      </c>
      <c r="T10" s="229" t="s">
        <v>310</v>
      </c>
      <c r="U10" s="229">
        <v>0</v>
      </c>
      <c r="V10" s="231" t="s">
        <v>308</v>
      </c>
    </row>
    <row r="11" ht="45.65" customHeight="1" spans="1:22" x14ac:dyDescent="0.25">
      <c r="A11" s="221" t="s">
        <v>308</v>
      </c>
      <c r="B11" s="222" t="s">
        <v>308</v>
      </c>
      <c r="C11" s="232" t="s">
        <v>308</v>
      </c>
      <c r="D11" s="224" t="s">
        <v>308</v>
      </c>
      <c r="E11" s="222">
        <v>0</v>
      </c>
      <c r="F11" s="226">
        <v>0</v>
      </c>
      <c r="G11" s="226">
        <v>0</v>
      </c>
      <c r="H11" s="227">
        <v>0</v>
      </c>
      <c r="I11" s="227">
        <v>0</v>
      </c>
      <c r="J11" s="227">
        <v>0</v>
      </c>
      <c r="K11" s="227">
        <v>0</v>
      </c>
      <c r="L11" s="227">
        <v>0</v>
      </c>
      <c r="M11" s="227">
        <v>0</v>
      </c>
      <c r="N11" s="227">
        <v>0</v>
      </c>
      <c r="O11" s="227">
        <v>0</v>
      </c>
      <c r="P11" s="227">
        <v>0</v>
      </c>
      <c r="Q11" s="228">
        <v>0</v>
      </c>
      <c r="R11" s="229">
        <v>0</v>
      </c>
      <c r="S11" s="229">
        <v>0</v>
      </c>
      <c r="T11" s="229">
        <v>0</v>
      </c>
      <c r="U11" s="229">
        <v>0</v>
      </c>
      <c r="V11" s="231" t="s">
        <v>308</v>
      </c>
    </row>
    <row r="12" ht="45.65" customHeight="1" spans="1:22" x14ac:dyDescent="0.25">
      <c r="A12" s="221" t="s">
        <v>308</v>
      </c>
      <c r="B12" s="222" t="s">
        <v>308</v>
      </c>
      <c r="C12" s="232" t="s">
        <v>308</v>
      </c>
      <c r="D12" s="224" t="s">
        <v>308</v>
      </c>
      <c r="E12" s="222">
        <v>0</v>
      </c>
      <c r="F12" s="226">
        <v>0</v>
      </c>
      <c r="G12" s="226">
        <v>0</v>
      </c>
      <c r="H12" s="227">
        <v>0</v>
      </c>
      <c r="I12" s="227">
        <v>0</v>
      </c>
      <c r="J12" s="227">
        <v>0</v>
      </c>
      <c r="K12" s="227">
        <v>0</v>
      </c>
      <c r="L12" s="227">
        <v>0</v>
      </c>
      <c r="M12" s="227">
        <v>0</v>
      </c>
      <c r="N12" s="227">
        <v>0</v>
      </c>
      <c r="O12" s="227">
        <v>0</v>
      </c>
      <c r="P12" s="227">
        <v>0</v>
      </c>
      <c r="Q12" s="228">
        <v>0</v>
      </c>
      <c r="R12" s="229">
        <v>0</v>
      </c>
      <c r="S12" s="229">
        <v>0</v>
      </c>
      <c r="T12" s="229">
        <v>0</v>
      </c>
      <c r="U12" s="229">
        <v>0</v>
      </c>
      <c r="V12" s="231" t="s">
        <v>308</v>
      </c>
    </row>
    <row r="13" ht="45.65" customHeight="1" spans="1:22" x14ac:dyDescent="0.25">
      <c r="A13" s="221" t="s">
        <v>308</v>
      </c>
      <c r="B13" s="222" t="s">
        <v>308</v>
      </c>
      <c r="C13" s="232" t="s">
        <v>308</v>
      </c>
      <c r="D13" s="224" t="s">
        <v>308</v>
      </c>
      <c r="E13" s="222">
        <v>0</v>
      </c>
      <c r="F13" s="226">
        <v>0</v>
      </c>
      <c r="G13" s="226">
        <v>0</v>
      </c>
      <c r="H13" s="227">
        <v>0</v>
      </c>
      <c r="I13" s="227">
        <v>0</v>
      </c>
      <c r="J13" s="227">
        <v>0</v>
      </c>
      <c r="K13" s="227">
        <v>0</v>
      </c>
      <c r="L13" s="227">
        <v>0</v>
      </c>
      <c r="M13" s="227">
        <v>0</v>
      </c>
      <c r="N13" s="227">
        <v>0</v>
      </c>
      <c r="O13" s="227">
        <v>0</v>
      </c>
      <c r="P13" s="227">
        <v>0</v>
      </c>
      <c r="Q13" s="228">
        <v>0</v>
      </c>
      <c r="R13" s="229">
        <v>0</v>
      </c>
      <c r="S13" s="229">
        <v>0</v>
      </c>
      <c r="T13" s="229">
        <v>0</v>
      </c>
      <c r="U13" s="229">
        <v>0</v>
      </c>
      <c r="V13" s="231" t="s">
        <v>308</v>
      </c>
    </row>
    <row r="14" ht="45.65" customHeight="1" spans="1:22" x14ac:dyDescent="0.25">
      <c r="A14" s="221" t="s">
        <v>308</v>
      </c>
      <c r="B14" s="222" t="s">
        <v>308</v>
      </c>
      <c r="C14" s="232" t="s">
        <v>308</v>
      </c>
      <c r="D14" s="224" t="s">
        <v>308</v>
      </c>
      <c r="E14" s="222">
        <v>0</v>
      </c>
      <c r="F14" s="226">
        <v>0</v>
      </c>
      <c r="G14" s="226">
        <v>0</v>
      </c>
      <c r="H14" s="227">
        <v>0</v>
      </c>
      <c r="I14" s="227">
        <v>0</v>
      </c>
      <c r="J14" s="227">
        <v>0</v>
      </c>
      <c r="K14" s="227">
        <v>0</v>
      </c>
      <c r="L14" s="233">
        <v>0</v>
      </c>
      <c r="M14" s="227">
        <v>0</v>
      </c>
      <c r="N14" s="227">
        <v>0</v>
      </c>
      <c r="O14" s="227">
        <v>0</v>
      </c>
      <c r="P14" s="227">
        <v>0</v>
      </c>
      <c r="Q14" s="228">
        <v>0</v>
      </c>
      <c r="R14" s="229">
        <v>0</v>
      </c>
      <c r="S14" s="229">
        <v>0</v>
      </c>
      <c r="T14" s="229">
        <v>0</v>
      </c>
      <c r="U14" s="229">
        <v>0</v>
      </c>
      <c r="V14" s="231" t="s">
        <v>308</v>
      </c>
    </row>
    <row r="15" ht="45.65" customHeight="1" spans="1:22" x14ac:dyDescent="0.25">
      <c r="A15" s="221" t="s">
        <v>308</v>
      </c>
      <c r="B15" s="222" t="s">
        <v>308</v>
      </c>
      <c r="C15" s="232" t="s">
        <v>308</v>
      </c>
      <c r="D15" s="224" t="s">
        <v>308</v>
      </c>
      <c r="E15" s="222">
        <v>0</v>
      </c>
      <c r="F15" s="226">
        <v>0</v>
      </c>
      <c r="G15" s="226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8">
        <v>0</v>
      </c>
      <c r="R15" s="229">
        <v>0</v>
      </c>
      <c r="S15" s="229">
        <v>0</v>
      </c>
      <c r="T15" s="229">
        <v>0</v>
      </c>
      <c r="U15" s="229">
        <v>0</v>
      </c>
      <c r="V15" s="231" t="s">
        <v>308</v>
      </c>
    </row>
    <row r="16" ht="45.65" customHeight="1" spans="1:22" x14ac:dyDescent="0.25">
      <c r="A16" s="221" t="s">
        <v>308</v>
      </c>
      <c r="B16" s="222" t="s">
        <v>308</v>
      </c>
      <c r="C16" s="232" t="s">
        <v>308</v>
      </c>
      <c r="D16" s="224" t="s">
        <v>308</v>
      </c>
      <c r="E16" s="222">
        <v>0</v>
      </c>
      <c r="F16" s="226">
        <v>0</v>
      </c>
      <c r="G16" s="226">
        <v>0</v>
      </c>
      <c r="H16" s="227">
        <v>0</v>
      </c>
      <c r="I16" s="227">
        <v>0</v>
      </c>
      <c r="J16" s="227">
        <v>0</v>
      </c>
      <c r="K16" s="227">
        <v>0</v>
      </c>
      <c r="L16" s="227">
        <v>0</v>
      </c>
      <c r="M16" s="227">
        <v>0</v>
      </c>
      <c r="N16" s="227">
        <v>0</v>
      </c>
      <c r="O16" s="227">
        <v>0</v>
      </c>
      <c r="P16" s="227">
        <v>0</v>
      </c>
      <c r="Q16" s="228">
        <v>0</v>
      </c>
      <c r="R16" s="229">
        <v>0</v>
      </c>
      <c r="S16" s="229">
        <v>0</v>
      </c>
      <c r="T16" s="229">
        <v>0</v>
      </c>
      <c r="U16" s="229">
        <v>0</v>
      </c>
      <c r="V16" s="231" t="s">
        <v>308</v>
      </c>
    </row>
    <row r="17" ht="45.65" customHeight="1" spans="1:22" x14ac:dyDescent="0.25">
      <c r="A17" s="221" t="s">
        <v>308</v>
      </c>
      <c r="B17" s="222" t="s">
        <v>308</v>
      </c>
      <c r="C17" s="232" t="s">
        <v>308</v>
      </c>
      <c r="D17" s="224" t="s">
        <v>308</v>
      </c>
      <c r="E17" s="222">
        <v>0</v>
      </c>
      <c r="F17" s="226">
        <v>0</v>
      </c>
      <c r="G17" s="226">
        <v>0</v>
      </c>
      <c r="H17" s="227">
        <v>0</v>
      </c>
      <c r="I17" s="227">
        <v>0</v>
      </c>
      <c r="J17" s="227">
        <v>0</v>
      </c>
      <c r="K17" s="227">
        <v>0</v>
      </c>
      <c r="L17" s="227">
        <v>0</v>
      </c>
      <c r="M17" s="227">
        <v>0</v>
      </c>
      <c r="N17" s="227">
        <v>0</v>
      </c>
      <c r="O17" s="227">
        <v>0</v>
      </c>
      <c r="P17" s="227">
        <v>0</v>
      </c>
      <c r="Q17" s="228">
        <v>0</v>
      </c>
      <c r="R17" s="229">
        <v>0</v>
      </c>
      <c r="S17" s="229">
        <v>0</v>
      </c>
      <c r="T17" s="229">
        <v>0</v>
      </c>
      <c r="U17" s="229">
        <v>0</v>
      </c>
      <c r="V17" s="231" t="s">
        <v>308</v>
      </c>
    </row>
    <row r="18" ht="45.65" customHeight="1" spans="1:22" x14ac:dyDescent="0.25">
      <c r="A18" s="221" t="s">
        <v>308</v>
      </c>
      <c r="B18" s="222" t="s">
        <v>308</v>
      </c>
      <c r="C18" s="232" t="s">
        <v>308</v>
      </c>
      <c r="D18" s="224" t="s">
        <v>308</v>
      </c>
      <c r="E18" s="222">
        <v>0</v>
      </c>
      <c r="F18" s="226">
        <v>0</v>
      </c>
      <c r="G18" s="226">
        <v>0</v>
      </c>
      <c r="H18" s="227">
        <v>0</v>
      </c>
      <c r="I18" s="227">
        <v>0</v>
      </c>
      <c r="J18" s="227">
        <v>0</v>
      </c>
      <c r="K18" s="227">
        <v>0</v>
      </c>
      <c r="L18" s="227">
        <v>0</v>
      </c>
      <c r="M18" s="227">
        <v>0</v>
      </c>
      <c r="N18" s="227">
        <v>0</v>
      </c>
      <c r="O18" s="227">
        <v>0</v>
      </c>
      <c r="P18" s="227">
        <v>0</v>
      </c>
      <c r="Q18" s="228">
        <v>0</v>
      </c>
      <c r="R18" s="229">
        <v>0</v>
      </c>
      <c r="S18" s="229">
        <v>0</v>
      </c>
      <c r="T18" s="229">
        <v>0</v>
      </c>
      <c r="U18" s="229">
        <v>0</v>
      </c>
      <c r="V18" s="231" t="s">
        <v>308</v>
      </c>
    </row>
    <row r="19" ht="45.65" customHeight="1" spans="1:22" x14ac:dyDescent="0.25">
      <c r="A19" s="221" t="s">
        <v>308</v>
      </c>
      <c r="B19" s="222" t="s">
        <v>308</v>
      </c>
      <c r="C19" s="223" t="s">
        <v>308</v>
      </c>
      <c r="D19" s="224" t="s">
        <v>308</v>
      </c>
      <c r="E19" s="222">
        <v>0</v>
      </c>
      <c r="F19" s="226">
        <v>0</v>
      </c>
      <c r="G19" s="226">
        <v>0</v>
      </c>
      <c r="H19" s="227">
        <v>0</v>
      </c>
      <c r="I19" s="227">
        <v>0</v>
      </c>
      <c r="J19" s="227">
        <v>0</v>
      </c>
      <c r="K19" s="227">
        <v>0</v>
      </c>
      <c r="L19" s="227">
        <v>0</v>
      </c>
      <c r="M19" s="227">
        <v>0</v>
      </c>
      <c r="N19" s="227">
        <v>0</v>
      </c>
      <c r="O19" s="227">
        <v>0</v>
      </c>
      <c r="P19" s="227">
        <v>0</v>
      </c>
      <c r="Q19" s="228">
        <v>0</v>
      </c>
      <c r="R19" s="229">
        <v>0</v>
      </c>
      <c r="S19" s="229">
        <v>0</v>
      </c>
      <c r="T19" s="229">
        <v>0</v>
      </c>
      <c r="U19" s="229">
        <v>0</v>
      </c>
      <c r="V19" s="231" t="s">
        <v>308</v>
      </c>
    </row>
    <row r="20" ht="45.65" customHeight="1" spans="1:22" x14ac:dyDescent="0.25">
      <c r="A20" s="221" t="s">
        <v>308</v>
      </c>
      <c r="B20" s="222" t="s">
        <v>308</v>
      </c>
      <c r="C20" s="223" t="s">
        <v>308</v>
      </c>
      <c r="D20" s="224" t="s">
        <v>308</v>
      </c>
      <c r="E20" s="222">
        <v>0</v>
      </c>
      <c r="F20" s="226">
        <v>0</v>
      </c>
      <c r="G20" s="226">
        <v>0</v>
      </c>
      <c r="H20" s="227">
        <v>0</v>
      </c>
      <c r="I20" s="227">
        <v>0</v>
      </c>
      <c r="J20" s="227">
        <v>0</v>
      </c>
      <c r="K20" s="227">
        <v>0</v>
      </c>
      <c r="L20" s="227">
        <v>0</v>
      </c>
      <c r="M20" s="227">
        <v>0</v>
      </c>
      <c r="N20" s="227">
        <v>0</v>
      </c>
      <c r="O20" s="227">
        <v>0</v>
      </c>
      <c r="P20" s="227">
        <v>0</v>
      </c>
      <c r="Q20" s="228">
        <v>0</v>
      </c>
      <c r="R20" s="229">
        <v>0</v>
      </c>
      <c r="S20" s="229">
        <v>0</v>
      </c>
      <c r="T20" s="229">
        <v>0</v>
      </c>
      <c r="U20" s="229">
        <v>0</v>
      </c>
      <c r="V20" s="231" t="s">
        <v>308</v>
      </c>
    </row>
    <row r="21" ht="45.65" customHeight="1" spans="1:22" x14ac:dyDescent="0.25">
      <c r="A21" s="221" t="s">
        <v>308</v>
      </c>
      <c r="B21" s="222" t="s">
        <v>308</v>
      </c>
      <c r="C21" s="223" t="s">
        <v>308</v>
      </c>
      <c r="D21" s="224" t="s">
        <v>308</v>
      </c>
      <c r="E21" s="222">
        <v>0</v>
      </c>
      <c r="F21" s="226">
        <v>0</v>
      </c>
      <c r="G21" s="226">
        <v>0</v>
      </c>
      <c r="H21" s="227">
        <v>0</v>
      </c>
      <c r="I21" s="227">
        <v>0</v>
      </c>
      <c r="J21" s="227">
        <v>0</v>
      </c>
      <c r="K21" s="227">
        <v>0</v>
      </c>
      <c r="L21" s="227">
        <v>0</v>
      </c>
      <c r="M21" s="227">
        <v>0</v>
      </c>
      <c r="N21" s="227">
        <v>0</v>
      </c>
      <c r="O21" s="227">
        <v>0</v>
      </c>
      <c r="P21" s="227">
        <v>0</v>
      </c>
      <c r="Q21" s="228">
        <v>0</v>
      </c>
      <c r="R21" s="229">
        <v>0</v>
      </c>
      <c r="S21" s="229">
        <v>0</v>
      </c>
      <c r="T21" s="229">
        <v>0</v>
      </c>
      <c r="U21" s="229">
        <v>0</v>
      </c>
      <c r="V21" s="231" t="s">
        <v>308</v>
      </c>
    </row>
    <row r="22" ht="45.65" customHeight="1" spans="1:22" x14ac:dyDescent="0.25">
      <c r="A22" s="221" t="s">
        <v>308</v>
      </c>
      <c r="B22" s="222" t="s">
        <v>308</v>
      </c>
      <c r="C22" s="234" t="s">
        <v>308</v>
      </c>
      <c r="D22" s="224" t="s">
        <v>308</v>
      </c>
      <c r="E22" s="222">
        <v>0</v>
      </c>
      <c r="F22" s="235">
        <v>0</v>
      </c>
      <c r="G22" s="226">
        <v>0</v>
      </c>
      <c r="H22" s="227">
        <v>0</v>
      </c>
      <c r="I22" s="227">
        <v>0</v>
      </c>
      <c r="J22" s="228">
        <v>0</v>
      </c>
      <c r="K22" s="228">
        <v>0</v>
      </c>
      <c r="L22" s="228">
        <v>0</v>
      </c>
      <c r="M22" s="227">
        <v>0</v>
      </c>
      <c r="N22" s="228">
        <v>0</v>
      </c>
      <c r="O22" s="227">
        <v>0</v>
      </c>
      <c r="P22" s="228">
        <v>0</v>
      </c>
      <c r="Q22" s="228">
        <v>0</v>
      </c>
      <c r="R22" s="229">
        <v>0</v>
      </c>
      <c r="S22" s="230">
        <v>0</v>
      </c>
      <c r="T22" s="229">
        <v>0</v>
      </c>
      <c r="U22" s="229">
        <v>0</v>
      </c>
      <c r="V22" s="236" t="s">
        <v>308</v>
      </c>
    </row>
    <row r="23" ht="45.65" customHeight="1" spans="1:22" x14ac:dyDescent="0.25">
      <c r="A23" s="221" t="s">
        <v>308</v>
      </c>
      <c r="B23" s="222" t="s">
        <v>308</v>
      </c>
      <c r="C23" s="232" t="s">
        <v>308</v>
      </c>
      <c r="D23" s="224" t="s">
        <v>308</v>
      </c>
      <c r="E23" s="222">
        <v>0</v>
      </c>
      <c r="F23" s="226">
        <v>0</v>
      </c>
      <c r="G23" s="226">
        <v>0</v>
      </c>
      <c r="H23" s="227">
        <v>0</v>
      </c>
      <c r="I23" s="227">
        <v>0</v>
      </c>
      <c r="J23" s="227">
        <v>0</v>
      </c>
      <c r="K23" s="227">
        <v>0</v>
      </c>
      <c r="L23" s="227">
        <v>0</v>
      </c>
      <c r="M23" s="227">
        <v>0</v>
      </c>
      <c r="N23" s="227">
        <v>0</v>
      </c>
      <c r="O23" s="227">
        <v>0</v>
      </c>
      <c r="P23" s="227">
        <v>0</v>
      </c>
      <c r="Q23" s="228">
        <v>0</v>
      </c>
      <c r="R23" s="229">
        <v>0</v>
      </c>
      <c r="S23" s="229">
        <v>0</v>
      </c>
      <c r="T23" s="229">
        <v>0</v>
      </c>
      <c r="U23" s="229">
        <v>0</v>
      </c>
      <c r="V23" s="231" t="s">
        <v>308</v>
      </c>
    </row>
    <row r="24" ht="45.65" customHeight="1" spans="1:22" x14ac:dyDescent="0.25">
      <c r="A24" s="221" t="s">
        <v>308</v>
      </c>
      <c r="B24" s="222" t="s">
        <v>308</v>
      </c>
      <c r="C24" s="232" t="s">
        <v>308</v>
      </c>
      <c r="D24" s="224" t="s">
        <v>308</v>
      </c>
      <c r="E24" s="222">
        <v>0</v>
      </c>
      <c r="F24" s="226">
        <v>0</v>
      </c>
      <c r="G24" s="226">
        <v>0</v>
      </c>
      <c r="H24" s="227">
        <v>0</v>
      </c>
      <c r="I24" s="227">
        <v>0</v>
      </c>
      <c r="J24" s="227">
        <v>0</v>
      </c>
      <c r="K24" s="227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8">
        <v>0</v>
      </c>
      <c r="R24" s="229">
        <v>0</v>
      </c>
      <c r="S24" s="229">
        <v>0</v>
      </c>
      <c r="T24" s="229">
        <v>0</v>
      </c>
      <c r="U24" s="229">
        <v>0</v>
      </c>
      <c r="V24" s="231" t="s">
        <v>308</v>
      </c>
    </row>
    <row r="25" ht="45.65" customHeight="1" spans="1:22" x14ac:dyDescent="0.25">
      <c r="A25" s="221" t="s">
        <v>308</v>
      </c>
      <c r="B25" s="122" t="s">
        <v>308</v>
      </c>
      <c r="C25" s="123" t="s">
        <v>308</v>
      </c>
      <c r="D25" s="224" t="s">
        <v>308</v>
      </c>
      <c r="E25" s="122">
        <v>0</v>
      </c>
      <c r="F25" s="125">
        <v>0</v>
      </c>
      <c r="G25" s="125">
        <v>0</v>
      </c>
      <c r="H25" s="126">
        <v>0</v>
      </c>
      <c r="I25" s="126">
        <v>0</v>
      </c>
      <c r="J25" s="126">
        <v>0</v>
      </c>
      <c r="K25" s="126">
        <v>0</v>
      </c>
      <c r="L25" s="126">
        <v>0</v>
      </c>
      <c r="M25" s="126">
        <v>0</v>
      </c>
      <c r="N25" s="126">
        <v>0</v>
      </c>
      <c r="O25" s="126">
        <v>0</v>
      </c>
      <c r="P25" s="126">
        <v>0</v>
      </c>
      <c r="Q25" s="151">
        <v>0</v>
      </c>
      <c r="R25" s="127">
        <v>0</v>
      </c>
      <c r="S25" s="127">
        <v>0</v>
      </c>
      <c r="T25" s="127">
        <v>0</v>
      </c>
      <c r="U25" s="127">
        <v>0</v>
      </c>
      <c r="V25" s="231" t="s">
        <v>308</v>
      </c>
    </row>
    <row r="26" ht="45.65" customHeight="1" spans="1:22" x14ac:dyDescent="0.25">
      <c r="A26" s="221" t="s">
        <v>308</v>
      </c>
      <c r="B26" s="222" t="s">
        <v>308</v>
      </c>
      <c r="C26" s="237" t="s">
        <v>308</v>
      </c>
      <c r="D26" s="224" t="s">
        <v>308</v>
      </c>
      <c r="E26" s="238">
        <v>0</v>
      </c>
      <c r="F26" s="226">
        <v>0</v>
      </c>
      <c r="G26" s="226">
        <v>0</v>
      </c>
      <c r="H26" s="227">
        <v>0</v>
      </c>
      <c r="I26" s="227">
        <v>0</v>
      </c>
      <c r="J26" s="227">
        <v>0</v>
      </c>
      <c r="K26" s="227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8">
        <v>0</v>
      </c>
      <c r="R26" s="229">
        <v>0</v>
      </c>
      <c r="S26" s="229">
        <v>0</v>
      </c>
      <c r="T26" s="229">
        <v>0</v>
      </c>
      <c r="U26" s="229">
        <v>0</v>
      </c>
      <c r="V26" s="231" t="s">
        <v>308</v>
      </c>
    </row>
    <row r="27" ht="45.65" customHeight="1" spans="1:22" x14ac:dyDescent="0.25">
      <c r="A27" s="221" t="s">
        <v>308</v>
      </c>
      <c r="B27" s="222" t="s">
        <v>308</v>
      </c>
      <c r="C27" s="223" t="s">
        <v>308</v>
      </c>
      <c r="D27" s="224" t="s">
        <v>308</v>
      </c>
      <c r="E27" s="222">
        <v>0</v>
      </c>
      <c r="F27" s="226">
        <v>0</v>
      </c>
      <c r="G27" s="226">
        <v>0</v>
      </c>
      <c r="H27" s="227">
        <v>0</v>
      </c>
      <c r="I27" s="227">
        <v>0</v>
      </c>
      <c r="J27" s="227">
        <v>0</v>
      </c>
      <c r="K27" s="227">
        <v>0</v>
      </c>
      <c r="L27" s="227">
        <v>0</v>
      </c>
      <c r="M27" s="227">
        <v>0</v>
      </c>
      <c r="N27" s="227">
        <v>0</v>
      </c>
      <c r="O27" s="227">
        <v>0</v>
      </c>
      <c r="P27" s="227">
        <v>0</v>
      </c>
      <c r="Q27" s="228">
        <v>0</v>
      </c>
      <c r="R27" s="229">
        <v>0</v>
      </c>
      <c r="S27" s="229">
        <v>0</v>
      </c>
      <c r="T27" s="229">
        <v>0</v>
      </c>
      <c r="U27" s="229">
        <v>0</v>
      </c>
      <c r="V27" s="231" t="s">
        <v>308</v>
      </c>
    </row>
    <row r="28" ht="45.65" customHeight="1" spans="1:22" x14ac:dyDescent="0.25">
      <c r="A28" s="221" t="s">
        <v>308</v>
      </c>
      <c r="B28" s="222" t="s">
        <v>308</v>
      </c>
      <c r="C28" s="237" t="s">
        <v>308</v>
      </c>
      <c r="D28" s="224" t="s">
        <v>308</v>
      </c>
      <c r="E28" s="239">
        <v>0</v>
      </c>
      <c r="F28" s="226">
        <v>0</v>
      </c>
      <c r="G28" s="226">
        <v>0</v>
      </c>
      <c r="H28" s="227">
        <v>0</v>
      </c>
      <c r="I28" s="227">
        <v>0</v>
      </c>
      <c r="J28" s="227">
        <v>0</v>
      </c>
      <c r="K28" s="227">
        <v>0</v>
      </c>
      <c r="L28" s="227">
        <v>0</v>
      </c>
      <c r="M28" s="227">
        <v>0</v>
      </c>
      <c r="N28" s="227">
        <v>0</v>
      </c>
      <c r="O28" s="227">
        <v>0</v>
      </c>
      <c r="P28" s="227">
        <v>0</v>
      </c>
      <c r="Q28" s="228">
        <v>0</v>
      </c>
      <c r="R28" s="229">
        <v>0</v>
      </c>
      <c r="S28" s="229">
        <v>0</v>
      </c>
      <c r="T28" s="229">
        <v>0</v>
      </c>
      <c r="U28" s="229">
        <v>0</v>
      </c>
      <c r="V28" s="231" t="s">
        <v>308</v>
      </c>
    </row>
    <row r="29" ht="45.65" customHeight="1" spans="1:22" x14ac:dyDescent="0.25">
      <c r="A29" s="221" t="s">
        <v>308</v>
      </c>
      <c r="B29" s="222" t="s">
        <v>308</v>
      </c>
      <c r="C29" s="237" t="s">
        <v>308</v>
      </c>
      <c r="D29" s="224" t="s">
        <v>308</v>
      </c>
      <c r="E29" s="240">
        <v>0</v>
      </c>
      <c r="F29" s="226">
        <v>0</v>
      </c>
      <c r="G29" s="226">
        <v>0</v>
      </c>
      <c r="H29" s="227">
        <v>0</v>
      </c>
      <c r="I29" s="227">
        <v>0</v>
      </c>
      <c r="J29" s="227">
        <v>0</v>
      </c>
      <c r="K29" s="227">
        <v>0</v>
      </c>
      <c r="L29" s="227">
        <v>0</v>
      </c>
      <c r="M29" s="227">
        <v>0</v>
      </c>
      <c r="N29" s="227">
        <v>0</v>
      </c>
      <c r="O29" s="227">
        <v>0</v>
      </c>
      <c r="P29" s="227">
        <v>0</v>
      </c>
      <c r="Q29" s="228">
        <v>0</v>
      </c>
      <c r="R29" s="229">
        <v>0</v>
      </c>
      <c r="S29" s="229">
        <v>0</v>
      </c>
      <c r="T29" s="229">
        <v>0</v>
      </c>
      <c r="U29" s="229">
        <v>0</v>
      </c>
      <c r="V29" s="231" t="s">
        <v>308</v>
      </c>
    </row>
    <row r="30" ht="45.65" customHeight="1" spans="1:22" x14ac:dyDescent="0.25">
      <c r="A30" s="221" t="s">
        <v>308</v>
      </c>
      <c r="B30" s="222" t="s">
        <v>308</v>
      </c>
      <c r="C30" s="237" t="s">
        <v>308</v>
      </c>
      <c r="D30" s="241" t="s">
        <v>308</v>
      </c>
      <c r="E30" s="238">
        <v>0</v>
      </c>
      <c r="F30" s="226">
        <v>0</v>
      </c>
      <c r="G30" s="226">
        <v>0</v>
      </c>
      <c r="H30" s="227">
        <v>0</v>
      </c>
      <c r="I30" s="227">
        <v>0</v>
      </c>
      <c r="J30" s="227">
        <v>0</v>
      </c>
      <c r="K30" s="227">
        <v>0</v>
      </c>
      <c r="L30" s="227">
        <v>0</v>
      </c>
      <c r="M30" s="227">
        <v>0</v>
      </c>
      <c r="N30" s="227">
        <v>0</v>
      </c>
      <c r="O30" s="227">
        <v>0</v>
      </c>
      <c r="P30" s="227">
        <v>0</v>
      </c>
      <c r="Q30" s="228">
        <v>0</v>
      </c>
      <c r="R30" s="229">
        <v>0</v>
      </c>
      <c r="S30" s="229">
        <v>0</v>
      </c>
      <c r="T30" s="229">
        <v>0</v>
      </c>
      <c r="U30" s="229">
        <v>0</v>
      </c>
      <c r="V30" s="231" t="s">
        <v>308</v>
      </c>
    </row>
    <row r="31" ht="50.15" customHeight="1" spans="1:22" x14ac:dyDescent="0.25">
      <c r="A31" s="242" t="s">
        <v>308</v>
      </c>
      <c r="B31" s="242" t="s">
        <v>308</v>
      </c>
      <c r="C31" s="242" t="s">
        <v>308</v>
      </c>
      <c r="D31" s="242" t="s">
        <v>308</v>
      </c>
      <c r="E31" s="243">
        <v>0</v>
      </c>
      <c r="F31" s="242">
        <v>0</v>
      </c>
      <c r="G31" s="244">
        <v>0</v>
      </c>
      <c r="H31" s="243">
        <v>0</v>
      </c>
      <c r="I31" s="243">
        <v>0</v>
      </c>
      <c r="J31" s="243">
        <v>0</v>
      </c>
      <c r="K31" s="243">
        <v>0</v>
      </c>
      <c r="L31" s="243">
        <v>0</v>
      </c>
      <c r="M31" s="243">
        <v>0</v>
      </c>
      <c r="N31" s="243">
        <v>0</v>
      </c>
      <c r="O31" s="243">
        <v>0</v>
      </c>
      <c r="P31" s="243">
        <v>0</v>
      </c>
      <c r="Q31" s="243">
        <v>0</v>
      </c>
      <c r="R31" s="243">
        <v>0</v>
      </c>
      <c r="S31" s="243">
        <v>0</v>
      </c>
      <c r="T31" s="243">
        <v>0</v>
      </c>
      <c r="U31" s="243">
        <v>0</v>
      </c>
      <c r="V31" s="243" t="s">
        <v>308</v>
      </c>
    </row>
    <row r="32" spans="1:22" x14ac:dyDescent="0.25">
      <c r="A32" t="s">
        <v>308</v>
      </c>
      <c r="B32" t="s">
        <v>308</v>
      </c>
      <c r="C32" s="112" t="s">
        <v>308</v>
      </c>
      <c r="D32" t="s">
        <v>308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308</v>
      </c>
    </row>
    <row r="33" ht="20.6" customHeight="1" spans="3:19" s="245" customFormat="1" x14ac:dyDescent="0.25">
      <c r="C33" s="245" t="s">
        <v>311</v>
      </c>
      <c r="H33" s="245" t="s">
        <v>312</v>
      </c>
      <c r="S33" s="245" t="s">
        <v>313</v>
      </c>
    </row>
    <row r="35" spans="13:16" x14ac:dyDescent="0.25">
      <c r="M35" s="148"/>
      <c r="P35" s="148"/>
    </row>
    <row r="36" spans="19:19" x14ac:dyDescent="0.25">
      <c r="S36" s="148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workbookViewId="0" zoomScale="70" zoomScaleNormal="70">
      <pane ySplit="5" topLeftCell="A6" activePane="bottomLeft" state="frozen"/>
      <selection pane="bottomLeft" activeCell="A6" sqref="A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4" width="15.3828125" customWidth="1"/>
    <col min="5" max="5" width="19.15234375" customWidth="1"/>
    <col min="6" max="6" width="15.3828125" customWidth="1"/>
    <col min="7" max="7" width="16" customWidth="1"/>
    <col min="8" max="8" width="18.3828125" customWidth="1"/>
    <col min="9" max="9" width="12" customWidth="1"/>
    <col min="10" max="10" width="10.84375" customWidth="1"/>
    <col min="11" max="11" width="23.84375" customWidth="1"/>
    <col min="12" max="12" width="17.15234375" customWidth="1"/>
    <col min="13" max="13" width="14.53515625" customWidth="1"/>
    <col min="14" max="14" width="14" customWidth="1"/>
    <col min="15" max="15" width="14.3046875" customWidth="1"/>
    <col min="16" max="16" width="26.3046875" customWidth="1"/>
    <col min="17" max="17" width="17.3046875" customWidth="1"/>
    <col min="18" max="18" width="14.3828125" customWidth="1"/>
    <col min="19" max="19" width="15.3046875" customWidth="1"/>
    <col min="20" max="20" width="14.69140625" customWidth="1"/>
    <col min="21" max="23" width="21.15234375" customWidth="1"/>
    <col min="24" max="24" width="36.3046875" customWidth="1"/>
  </cols>
  <sheetData>
    <row r="1" ht="51.65" customHeight="1" spans="1:24" x14ac:dyDescent="0.25">
      <c r="A1" s="246" t="s">
        <v>302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</row>
    <row r="2" ht="53.15" customHeight="1" spans="1:24" x14ac:dyDescent="0.25">
      <c r="A2" s="18" t="s">
        <v>292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248" t="s">
        <v>315</v>
      </c>
      <c r="F4" s="248" t="s">
        <v>316</v>
      </c>
      <c r="G4" s="117" t="s">
        <v>8</v>
      </c>
      <c r="H4" s="117" t="s">
        <v>9</v>
      </c>
      <c r="I4" s="117" t="s">
        <v>10</v>
      </c>
      <c r="J4" s="117" t="s">
        <v>11</v>
      </c>
      <c r="K4" s="119" t="s">
        <v>12</v>
      </c>
      <c r="L4" s="119"/>
      <c r="M4" s="119"/>
      <c r="N4" s="119"/>
      <c r="O4" s="119"/>
      <c r="P4" s="119"/>
      <c r="Q4" s="119" t="s">
        <v>13</v>
      </c>
      <c r="R4" s="119"/>
      <c r="S4" s="119"/>
      <c r="T4" s="119"/>
      <c r="U4" s="117" t="s">
        <v>14</v>
      </c>
      <c r="V4" s="120" t="s">
        <v>347</v>
      </c>
      <c r="W4" s="120" t="s">
        <v>307</v>
      </c>
      <c r="X4" s="117" t="s">
        <v>15</v>
      </c>
    </row>
    <row r="5" ht="88.5" customHeight="1" spans="1:24" s="115" customFormat="1" x14ac:dyDescent="0.25">
      <c r="A5" s="116"/>
      <c r="B5" s="117"/>
      <c r="C5" s="117"/>
      <c r="D5" s="118"/>
      <c r="E5" s="251"/>
      <c r="F5" s="251"/>
      <c r="G5" s="116"/>
      <c r="H5" s="117"/>
      <c r="I5" s="117"/>
      <c r="J5" s="117"/>
      <c r="K5" s="120" t="s">
        <v>16</v>
      </c>
      <c r="L5" s="120" t="s">
        <v>17</v>
      </c>
      <c r="M5" s="120" t="s">
        <v>18</v>
      </c>
      <c r="N5" s="120" t="s">
        <v>31</v>
      </c>
      <c r="O5" s="120" t="s">
        <v>21</v>
      </c>
      <c r="P5" s="120" t="s">
        <v>22</v>
      </c>
      <c r="Q5" s="120" t="s">
        <v>23</v>
      </c>
      <c r="R5" s="120" t="s">
        <v>24</v>
      </c>
      <c r="S5" s="120" t="s">
        <v>25</v>
      </c>
      <c r="T5" s="120" t="s">
        <v>21</v>
      </c>
      <c r="U5" s="117"/>
      <c r="V5" s="220"/>
      <c r="W5" s="220"/>
      <c r="X5" s="117"/>
    </row>
    <row r="6" ht="45.65" customHeight="1" spans="1:24" x14ac:dyDescent="0.25">
      <c r="A6" s="121">
        <v>1</v>
      </c>
      <c r="B6" s="122" t="s">
        <v>256</v>
      </c>
      <c r="C6" s="123" t="s">
        <v>96</v>
      </c>
      <c r="D6" s="124"/>
      <c r="E6" s="124" t="s">
        <v>97</v>
      </c>
      <c r="F6" s="124" t="s">
        <v>98</v>
      </c>
      <c r="G6" s="123"/>
      <c r="H6" s="122">
        <v>1000</v>
      </c>
      <c r="I6" s="125">
        <v>26</v>
      </c>
      <c r="J6" s="125">
        <v>0</v>
      </c>
      <c r="K6" s="126">
        <f t="shared" ref="K6:K61" si="0">H6/26*I6</f>
        <v>1000</v>
      </c>
      <c r="L6" s="126">
        <f>K6/26*J6</f>
        <v>0</v>
      </c>
      <c r="M6" s="126">
        <v>0</v>
      </c>
      <c r="N6" s="126">
        <v>0</v>
      </c>
      <c r="O6" s="126">
        <v>0</v>
      </c>
      <c r="P6" s="126">
        <f>K6+L6+M6+N6+O6</f>
        <v>1000</v>
      </c>
      <c r="Q6" s="126">
        <v>0</v>
      </c>
      <c r="R6" s="126">
        <v>0</v>
      </c>
      <c r="S6" s="126">
        <v>0</v>
      </c>
      <c r="T6" s="126">
        <v>0</v>
      </c>
      <c r="U6" s="127">
        <f>P6-Q6-R6-S6-T6</f>
        <v>1000</v>
      </c>
      <c r="V6" s="127">
        <f>U6</f>
        <v>1000</v>
      </c>
      <c r="W6" s="127">
        <f>V6-U6</f>
        <v>0</v>
      </c>
      <c r="X6" s="128"/>
    </row>
    <row r="7" ht="45.65" customHeight="1" spans="1:24" x14ac:dyDescent="0.25">
      <c r="A7" s="121">
        <v>2</v>
      </c>
      <c r="B7" s="122" t="s">
        <v>206</v>
      </c>
      <c r="C7" s="130" t="s">
        <v>182</v>
      </c>
      <c r="D7" s="124"/>
      <c r="E7" s="124" t="s">
        <v>97</v>
      </c>
      <c r="F7" s="124" t="s">
        <v>98</v>
      </c>
      <c r="G7" s="130" t="s">
        <v>102</v>
      </c>
      <c r="H7" s="129">
        <v>410</v>
      </c>
      <c r="I7" s="125">
        <v>26</v>
      </c>
      <c r="J7" s="125">
        <v>0</v>
      </c>
      <c r="K7" s="126">
        <f t="shared" si="0"/>
        <v>410</v>
      </c>
      <c r="L7" s="126">
        <v>0</v>
      </c>
      <c r="M7" s="126">
        <v>0</v>
      </c>
      <c r="N7" s="126">
        <v>0</v>
      </c>
      <c r="O7" s="126">
        <v>0</v>
      </c>
      <c r="P7" s="126">
        <f>K7+L7+M7+N7+O7</f>
        <v>410</v>
      </c>
      <c r="Q7" s="126">
        <v>0</v>
      </c>
      <c r="R7" s="126">
        <v>0</v>
      </c>
      <c r="S7" s="126">
        <v>0</v>
      </c>
      <c r="T7" s="152">
        <v>0</v>
      </c>
      <c r="U7" s="127">
        <f>P7-Q7-R7-S7-T7</f>
        <v>410</v>
      </c>
      <c r="V7" s="127">
        <v>800</v>
      </c>
      <c r="W7" s="127">
        <f>V7-U7</f>
        <v>390</v>
      </c>
      <c r="X7" s="131" t="s">
        <v>57</v>
      </c>
    </row>
    <row r="8" ht="45.65" customHeight="1" spans="1:24" x14ac:dyDescent="0.25">
      <c r="A8" s="121">
        <v>3</v>
      </c>
      <c r="B8" s="122" t="s">
        <v>257</v>
      </c>
      <c r="C8" s="123" t="s">
        <v>242</v>
      </c>
      <c r="D8" s="124"/>
      <c r="E8" s="124" t="s">
        <v>100</v>
      </c>
      <c r="F8" s="124" t="s">
        <v>101</v>
      </c>
      <c r="G8" s="123"/>
      <c r="H8" s="122">
        <v>150</v>
      </c>
      <c r="I8" s="125">
        <v>26</v>
      </c>
      <c r="J8" s="125">
        <v>0</v>
      </c>
      <c r="K8" s="126">
        <f t="shared" si="0"/>
        <v>150</v>
      </c>
      <c r="L8" s="126">
        <v>0</v>
      </c>
      <c r="M8" s="126">
        <v>0</v>
      </c>
      <c r="N8" s="126">
        <v>0</v>
      </c>
      <c r="O8" s="126">
        <v>0</v>
      </c>
      <c r="P8" s="126">
        <f t="shared" ref="P8:P61" si="1">K8+L8+M8+N8+O8</f>
        <v>150</v>
      </c>
      <c r="Q8" s="126">
        <v>0</v>
      </c>
      <c r="R8" s="126">
        <v>0</v>
      </c>
      <c r="S8" s="126">
        <v>0</v>
      </c>
      <c r="T8" s="126">
        <v>0</v>
      </c>
      <c r="U8" s="127">
        <f>P8-Q8-R8-S8-T8</f>
        <v>150</v>
      </c>
      <c r="V8" s="127">
        <f>U8</f>
        <v>150</v>
      </c>
      <c r="W8" s="127">
        <f t="shared" ref="W8:W61" si="2">V8-U8</f>
        <v>0</v>
      </c>
      <c r="X8" s="128"/>
    </row>
    <row r="9" ht="45.65" customHeight="1" spans="1:24" x14ac:dyDescent="0.25">
      <c r="A9" s="121">
        <f>A8+1</f>
        <v>4</v>
      </c>
      <c r="B9" s="122" t="s">
        <v>258</v>
      </c>
      <c r="C9" s="123" t="s">
        <v>244</v>
      </c>
      <c r="D9" s="124"/>
      <c r="E9" s="124" t="s">
        <v>97</v>
      </c>
      <c r="F9" s="124" t="s">
        <v>98</v>
      </c>
      <c r="G9" s="123" t="s">
        <v>104</v>
      </c>
      <c r="H9" s="122">
        <v>255</v>
      </c>
      <c r="I9" s="125">
        <v>26</v>
      </c>
      <c r="J9" s="125">
        <v>0</v>
      </c>
      <c r="K9" s="126">
        <f t="shared" si="0"/>
        <v>255.00000000000003</v>
      </c>
      <c r="L9" s="126">
        <v>0</v>
      </c>
      <c r="M9" s="126">
        <v>0</v>
      </c>
      <c r="N9" s="126">
        <v>0</v>
      </c>
      <c r="O9" s="126">
        <v>0</v>
      </c>
      <c r="P9" s="126">
        <f t="shared" si="1"/>
        <v>255.00000000000003</v>
      </c>
      <c r="Q9" s="126">
        <v>0</v>
      </c>
      <c r="R9" s="126">
        <v>0</v>
      </c>
      <c r="S9" s="126">
        <v>0</v>
      </c>
      <c r="T9" s="126">
        <v>0</v>
      </c>
      <c r="U9" s="127">
        <f t="shared" ref="U9:U52" si="3">P9-Q9-R9-S9-T9</f>
        <v>255.00000000000003</v>
      </c>
      <c r="V9" s="127">
        <f t="shared" ref="V9:V61" si="4">U9</f>
        <v>255.00000000000003</v>
      </c>
      <c r="W9" s="127">
        <f t="shared" si="2"/>
        <v>0</v>
      </c>
      <c r="X9" s="132"/>
    </row>
    <row r="10" ht="45.65" customHeight="1" spans="1:24" x14ac:dyDescent="0.25">
      <c r="A10" s="121">
        <f t="shared" ref="A10:A61" si="5">A9+1</f>
        <v>5</v>
      </c>
      <c r="B10" s="122" t="s">
        <v>259</v>
      </c>
      <c r="C10" s="123" t="s">
        <v>245</v>
      </c>
      <c r="D10" s="124"/>
      <c r="E10" s="124" t="s">
        <v>106</v>
      </c>
      <c r="F10" s="124" t="s">
        <v>98</v>
      </c>
      <c r="G10" s="123" t="s">
        <v>107</v>
      </c>
      <c r="H10" s="122">
        <v>150</v>
      </c>
      <c r="I10" s="125">
        <v>26</v>
      </c>
      <c r="J10" s="125">
        <v>0</v>
      </c>
      <c r="K10" s="126">
        <f t="shared" si="0"/>
        <v>150</v>
      </c>
      <c r="L10" s="126">
        <v>0</v>
      </c>
      <c r="M10" s="126">
        <v>0</v>
      </c>
      <c r="N10" s="126">
        <v>0</v>
      </c>
      <c r="O10" s="126">
        <v>0</v>
      </c>
      <c r="P10" s="126">
        <f t="shared" si="1"/>
        <v>150</v>
      </c>
      <c r="Q10" s="126">
        <v>0</v>
      </c>
      <c r="R10" s="126">
        <v>0</v>
      </c>
      <c r="S10" s="126">
        <v>0</v>
      </c>
      <c r="T10" s="126">
        <v>0</v>
      </c>
      <c r="U10" s="127">
        <f t="shared" si="3"/>
        <v>150</v>
      </c>
      <c r="V10" s="127">
        <f t="shared" si="4"/>
        <v>150</v>
      </c>
      <c r="W10" s="127">
        <f t="shared" si="2"/>
        <v>0</v>
      </c>
      <c r="X10" s="132"/>
    </row>
    <row r="11" ht="45.65" customHeight="1" spans="1:24" x14ac:dyDescent="0.25">
      <c r="A11" s="121">
        <f t="shared" si="5"/>
        <v>6</v>
      </c>
      <c r="B11" s="122" t="s">
        <v>260</v>
      </c>
      <c r="C11" s="123" t="s">
        <v>108</v>
      </c>
      <c r="D11" s="124"/>
      <c r="E11" s="124" t="s">
        <v>109</v>
      </c>
      <c r="F11" s="124" t="s">
        <v>183</v>
      </c>
      <c r="G11" s="123"/>
      <c r="H11" s="122">
        <v>430</v>
      </c>
      <c r="I11" s="125">
        <v>26</v>
      </c>
      <c r="J11" s="125">
        <v>0</v>
      </c>
      <c r="K11" s="126">
        <f t="shared" si="0"/>
        <v>430.00000000000006</v>
      </c>
      <c r="L11" s="126">
        <v>0</v>
      </c>
      <c r="M11" s="126">
        <v>0</v>
      </c>
      <c r="N11" s="126">
        <v>0</v>
      </c>
      <c r="O11" s="126">
        <v>0</v>
      </c>
      <c r="P11" s="126">
        <f t="shared" si="1"/>
        <v>430.00000000000006</v>
      </c>
      <c r="Q11" s="126">
        <v>0</v>
      </c>
      <c r="R11" s="126">
        <v>0</v>
      </c>
      <c r="S11" s="126">
        <v>0</v>
      </c>
      <c r="T11" s="126">
        <v>0</v>
      </c>
      <c r="U11" s="127">
        <f t="shared" si="3"/>
        <v>430.00000000000006</v>
      </c>
      <c r="V11" s="127">
        <f t="shared" si="4"/>
        <v>430.00000000000006</v>
      </c>
      <c r="W11" s="127">
        <f t="shared" si="2"/>
        <v>0</v>
      </c>
      <c r="X11" s="132"/>
    </row>
    <row r="12" ht="45.65" customHeight="1" spans="1:24" x14ac:dyDescent="0.25">
      <c r="A12" s="121">
        <f t="shared" si="5"/>
        <v>7</v>
      </c>
      <c r="B12" s="122" t="s">
        <v>208</v>
      </c>
      <c r="C12" s="123" t="s">
        <v>184</v>
      </c>
      <c r="D12" s="124"/>
      <c r="E12" s="124" t="s">
        <v>97</v>
      </c>
      <c r="F12" s="124" t="s">
        <v>98</v>
      </c>
      <c r="G12" s="123" t="s">
        <v>54</v>
      </c>
      <c r="H12" s="122">
        <v>240</v>
      </c>
      <c r="I12" s="125">
        <v>26</v>
      </c>
      <c r="J12" s="125">
        <v>0</v>
      </c>
      <c r="K12" s="126">
        <f t="shared" si="0"/>
        <v>239.99999999999997</v>
      </c>
      <c r="L12" s="126">
        <v>0</v>
      </c>
      <c r="M12" s="126">
        <v>0</v>
      </c>
      <c r="N12" s="126">
        <v>0</v>
      </c>
      <c r="O12" s="126">
        <v>0</v>
      </c>
      <c r="P12" s="126">
        <f t="shared" si="1"/>
        <v>239.99999999999997</v>
      </c>
      <c r="Q12" s="126">
        <v>0</v>
      </c>
      <c r="R12" s="126">
        <v>0</v>
      </c>
      <c r="S12" s="126">
        <v>50</v>
      </c>
      <c r="T12" s="126">
        <v>0</v>
      </c>
      <c r="U12" s="127">
        <f t="shared" si="3"/>
        <v>189.99999999999997</v>
      </c>
      <c r="V12" s="127">
        <f t="shared" si="4"/>
        <v>189.99999999999997</v>
      </c>
      <c r="W12" s="127">
        <f t="shared" si="2"/>
        <v>0</v>
      </c>
      <c r="X12" s="132"/>
    </row>
    <row r="13" ht="45.65" customHeight="1" spans="1:24" x14ac:dyDescent="0.25">
      <c r="A13" s="121">
        <f t="shared" si="5"/>
        <v>8</v>
      </c>
      <c r="B13" s="122" t="s">
        <v>209</v>
      </c>
      <c r="C13" s="123" t="s">
        <v>112</v>
      </c>
      <c r="D13" s="124"/>
      <c r="E13" s="124" t="s">
        <v>97</v>
      </c>
      <c r="F13" s="124" t="s">
        <v>101</v>
      </c>
      <c r="G13" s="123" t="s">
        <v>113</v>
      </c>
      <c r="H13" s="122">
        <v>330</v>
      </c>
      <c r="I13" s="125">
        <v>26</v>
      </c>
      <c r="J13" s="125">
        <v>0</v>
      </c>
      <c r="K13" s="126">
        <f t="shared" si="0"/>
        <v>330</v>
      </c>
      <c r="L13" s="126">
        <v>0</v>
      </c>
      <c r="M13" s="126">
        <v>30</v>
      </c>
      <c r="N13" s="126">
        <v>0</v>
      </c>
      <c r="O13" s="126">
        <v>0</v>
      </c>
      <c r="P13" s="126">
        <f t="shared" si="1"/>
        <v>360</v>
      </c>
      <c r="Q13" s="126">
        <v>0</v>
      </c>
      <c r="R13" s="126">
        <v>0</v>
      </c>
      <c r="S13" s="126">
        <v>0</v>
      </c>
      <c r="T13" s="126">
        <v>0</v>
      </c>
      <c r="U13" s="127">
        <f t="shared" si="3"/>
        <v>360</v>
      </c>
      <c r="V13" s="127">
        <f t="shared" si="4"/>
        <v>360</v>
      </c>
      <c r="W13" s="127">
        <f t="shared" si="2"/>
        <v>0</v>
      </c>
      <c r="X13" s="132"/>
    </row>
    <row r="14" ht="45.65" customHeight="1" spans="1:24" x14ac:dyDescent="0.25">
      <c r="A14" s="121">
        <f t="shared" si="5"/>
        <v>9</v>
      </c>
      <c r="B14" s="122" t="s">
        <v>210</v>
      </c>
      <c r="C14" s="123" t="s">
        <v>117</v>
      </c>
      <c r="D14" s="124"/>
      <c r="E14" s="124" t="s">
        <v>97</v>
      </c>
      <c r="F14" s="124" t="s">
        <v>98</v>
      </c>
      <c r="G14" s="123" t="s">
        <v>118</v>
      </c>
      <c r="H14" s="122">
        <v>200</v>
      </c>
      <c r="I14" s="125">
        <v>26</v>
      </c>
      <c r="J14" s="125">
        <v>0</v>
      </c>
      <c r="K14" s="126">
        <f t="shared" si="0"/>
        <v>200</v>
      </c>
      <c r="L14" s="126">
        <v>0</v>
      </c>
      <c r="M14" s="126">
        <v>0</v>
      </c>
      <c r="N14" s="126">
        <v>0</v>
      </c>
      <c r="O14" s="126">
        <v>0</v>
      </c>
      <c r="P14" s="126">
        <f t="shared" si="1"/>
        <v>200</v>
      </c>
      <c r="Q14" s="126">
        <v>0</v>
      </c>
      <c r="R14" s="126">
        <v>0</v>
      </c>
      <c r="S14" s="126">
        <v>0</v>
      </c>
      <c r="T14" s="126">
        <v>0</v>
      </c>
      <c r="U14" s="127">
        <f t="shared" si="3"/>
        <v>200</v>
      </c>
      <c r="V14" s="127">
        <f t="shared" si="4"/>
        <v>200</v>
      </c>
      <c r="W14" s="127">
        <f t="shared" si="2"/>
        <v>0</v>
      </c>
      <c r="X14" s="132"/>
    </row>
    <row r="15" ht="45.65" customHeight="1" spans="1:24" x14ac:dyDescent="0.25">
      <c r="A15" s="121">
        <f t="shared" si="5"/>
        <v>10</v>
      </c>
      <c r="B15" s="122" t="s">
        <v>211</v>
      </c>
      <c r="C15" s="123" t="s">
        <v>185</v>
      </c>
      <c r="D15" s="124"/>
      <c r="E15" s="124" t="s">
        <v>97</v>
      </c>
      <c r="F15" s="124" t="s">
        <v>120</v>
      </c>
      <c r="G15" s="123" t="s">
        <v>121</v>
      </c>
      <c r="H15" s="122">
        <v>430</v>
      </c>
      <c r="I15" s="125">
        <v>26</v>
      </c>
      <c r="J15" s="125">
        <v>0</v>
      </c>
      <c r="K15" s="126">
        <f t="shared" si="0"/>
        <v>430.00000000000006</v>
      </c>
      <c r="L15" s="126">
        <v>0</v>
      </c>
      <c r="M15" s="126">
        <v>0</v>
      </c>
      <c r="N15" s="126">
        <v>0</v>
      </c>
      <c r="O15" s="126">
        <v>0</v>
      </c>
      <c r="P15" s="126">
        <f t="shared" si="1"/>
        <v>430.00000000000006</v>
      </c>
      <c r="Q15" s="126">
        <v>0</v>
      </c>
      <c r="R15" s="126">
        <v>0</v>
      </c>
      <c r="S15" s="126">
        <v>0</v>
      </c>
      <c r="T15" s="126">
        <v>0</v>
      </c>
      <c r="U15" s="127">
        <f t="shared" si="3"/>
        <v>430.00000000000006</v>
      </c>
      <c r="V15" s="127">
        <f t="shared" si="4"/>
        <v>430.00000000000006</v>
      </c>
      <c r="W15" s="127">
        <f t="shared" si="2"/>
        <v>0</v>
      </c>
      <c r="X15" s="132"/>
    </row>
    <row r="16" ht="45.65" customHeight="1" spans="1:24" x14ac:dyDescent="0.25">
      <c r="A16" s="121">
        <f t="shared" si="5"/>
        <v>11</v>
      </c>
      <c r="B16" s="122" t="s">
        <v>212</v>
      </c>
      <c r="C16" s="123" t="s">
        <v>213</v>
      </c>
      <c r="D16" s="124"/>
      <c r="E16" s="124" t="s">
        <v>97</v>
      </c>
      <c r="F16" s="124" t="s">
        <v>98</v>
      </c>
      <c r="G16" s="123" t="s">
        <v>123</v>
      </c>
      <c r="H16" s="122">
        <v>450</v>
      </c>
      <c r="I16" s="125">
        <v>26</v>
      </c>
      <c r="J16" s="125">
        <v>0</v>
      </c>
      <c r="K16" s="126">
        <f t="shared" si="0"/>
        <v>450</v>
      </c>
      <c r="L16" s="126">
        <v>0</v>
      </c>
      <c r="M16" s="126">
        <v>0</v>
      </c>
      <c r="N16" s="126">
        <v>0</v>
      </c>
      <c r="O16" s="126">
        <v>0</v>
      </c>
      <c r="P16" s="126">
        <f t="shared" si="1"/>
        <v>450</v>
      </c>
      <c r="Q16" s="126">
        <v>0</v>
      </c>
      <c r="R16" s="126">
        <v>0</v>
      </c>
      <c r="S16" s="126">
        <v>50</v>
      </c>
      <c r="T16" s="126">
        <v>0</v>
      </c>
      <c r="U16" s="127">
        <f t="shared" si="3"/>
        <v>400</v>
      </c>
      <c r="V16" s="127">
        <f t="shared" si="4"/>
        <v>400</v>
      </c>
      <c r="W16" s="127">
        <f t="shared" si="2"/>
        <v>0</v>
      </c>
      <c r="X16" s="132"/>
    </row>
    <row r="17" ht="45.65" customHeight="1" spans="1:24" x14ac:dyDescent="0.25">
      <c r="A17" s="121">
        <f t="shared" si="5"/>
        <v>12</v>
      </c>
      <c r="B17" s="122" t="s">
        <v>214</v>
      </c>
      <c r="C17" s="123" t="s">
        <v>186</v>
      </c>
      <c r="D17" s="124"/>
      <c r="E17" s="124" t="s">
        <v>100</v>
      </c>
      <c r="F17" s="124" t="s">
        <v>98</v>
      </c>
      <c r="G17" s="123" t="s">
        <v>125</v>
      </c>
      <c r="H17" s="122">
        <v>300</v>
      </c>
      <c r="I17" s="125">
        <v>26</v>
      </c>
      <c r="J17" s="125">
        <v>0</v>
      </c>
      <c r="K17" s="126">
        <f t="shared" si="0"/>
        <v>300</v>
      </c>
      <c r="L17" s="126">
        <v>0</v>
      </c>
      <c r="M17" s="126">
        <v>0</v>
      </c>
      <c r="N17" s="126">
        <v>0</v>
      </c>
      <c r="O17" s="150">
        <v>300</v>
      </c>
      <c r="P17" s="126">
        <f t="shared" si="1"/>
        <v>600</v>
      </c>
      <c r="Q17" s="126">
        <v>0</v>
      </c>
      <c r="R17" s="126">
        <v>0</v>
      </c>
      <c r="S17" s="126">
        <v>0</v>
      </c>
      <c r="T17" s="126">
        <v>0</v>
      </c>
      <c r="U17" s="127">
        <f t="shared" si="3"/>
        <v>600</v>
      </c>
      <c r="V17" s="127">
        <f t="shared" si="4"/>
        <v>600</v>
      </c>
      <c r="W17" s="127">
        <f t="shared" si="2"/>
        <v>0</v>
      </c>
      <c r="X17" s="132"/>
    </row>
    <row r="18" ht="45.65" customHeight="1" spans="1:24" x14ac:dyDescent="0.25">
      <c r="A18" s="121">
        <f t="shared" si="5"/>
        <v>13</v>
      </c>
      <c r="B18" s="122" t="s">
        <v>215</v>
      </c>
      <c r="C18" s="123" t="s">
        <v>126</v>
      </c>
      <c r="D18" s="124"/>
      <c r="E18" s="124" t="s">
        <v>116</v>
      </c>
      <c r="F18" s="124" t="s">
        <v>98</v>
      </c>
      <c r="G18" s="123" t="s">
        <v>127</v>
      </c>
      <c r="H18" s="122">
        <v>300</v>
      </c>
      <c r="I18" s="125">
        <v>26</v>
      </c>
      <c r="J18" s="125">
        <v>0</v>
      </c>
      <c r="K18" s="126">
        <f t="shared" si="0"/>
        <v>300</v>
      </c>
      <c r="L18" s="126">
        <v>0</v>
      </c>
      <c r="M18" s="126">
        <v>0</v>
      </c>
      <c r="N18" s="126">
        <v>0</v>
      </c>
      <c r="O18" s="126">
        <v>0</v>
      </c>
      <c r="P18" s="126">
        <f t="shared" si="1"/>
        <v>300</v>
      </c>
      <c r="Q18" s="126">
        <v>0</v>
      </c>
      <c r="R18" s="126">
        <v>0</v>
      </c>
      <c r="S18" s="126">
        <v>0</v>
      </c>
      <c r="T18" s="126">
        <v>0</v>
      </c>
      <c r="U18" s="127">
        <f t="shared" si="3"/>
        <v>300</v>
      </c>
      <c r="V18" s="127">
        <f t="shared" si="4"/>
        <v>300</v>
      </c>
      <c r="W18" s="127">
        <f t="shared" si="2"/>
        <v>0</v>
      </c>
      <c r="X18" s="132"/>
    </row>
    <row r="19" ht="45.65" customHeight="1" spans="1:24" x14ac:dyDescent="0.25">
      <c r="A19" s="121">
        <f t="shared" si="5"/>
        <v>14</v>
      </c>
      <c r="B19" s="122" t="s">
        <v>216</v>
      </c>
      <c r="C19" s="123" t="s">
        <v>188</v>
      </c>
      <c r="D19" s="124"/>
      <c r="E19" s="124" t="s">
        <v>116</v>
      </c>
      <c r="F19" s="124" t="s">
        <v>98</v>
      </c>
      <c r="G19" s="123"/>
      <c r="H19" s="122">
        <v>250</v>
      </c>
      <c r="I19" s="125">
        <v>26</v>
      </c>
      <c r="J19" s="125">
        <v>0</v>
      </c>
      <c r="K19" s="126">
        <f t="shared" si="0"/>
        <v>250</v>
      </c>
      <c r="L19" s="126">
        <v>0</v>
      </c>
      <c r="M19" s="126">
        <v>0</v>
      </c>
      <c r="N19" s="126">
        <v>0</v>
      </c>
      <c r="O19" s="126">
        <v>0</v>
      </c>
      <c r="P19" s="126">
        <f t="shared" si="1"/>
        <v>250</v>
      </c>
      <c r="Q19" s="126">
        <v>0</v>
      </c>
      <c r="R19" s="126">
        <v>0</v>
      </c>
      <c r="S19" s="126">
        <v>0</v>
      </c>
      <c r="T19" s="126">
        <v>0</v>
      </c>
      <c r="U19" s="127">
        <f t="shared" si="3"/>
        <v>250</v>
      </c>
      <c r="V19" s="127">
        <f t="shared" si="4"/>
        <v>250</v>
      </c>
      <c r="W19" s="127">
        <f t="shared" si="2"/>
        <v>0</v>
      </c>
      <c r="X19" s="132"/>
    </row>
    <row r="20" ht="45.65" customHeight="1" spans="1:24" x14ac:dyDescent="0.25">
      <c r="A20" s="121">
        <f t="shared" si="5"/>
        <v>15</v>
      </c>
      <c r="B20" s="122" t="s">
        <v>262</v>
      </c>
      <c r="C20" s="123" t="s">
        <v>130</v>
      </c>
      <c r="D20" s="124"/>
      <c r="E20" s="124" t="s">
        <v>131</v>
      </c>
      <c r="F20" s="124" t="s">
        <v>98</v>
      </c>
      <c r="G20" s="123"/>
      <c r="H20" s="122">
        <v>100</v>
      </c>
      <c r="I20" s="125">
        <v>26</v>
      </c>
      <c r="J20" s="125">
        <v>0</v>
      </c>
      <c r="K20" s="126">
        <f t="shared" si="0"/>
        <v>100</v>
      </c>
      <c r="L20" s="126">
        <v>0</v>
      </c>
      <c r="M20" s="126">
        <v>0</v>
      </c>
      <c r="N20" s="126">
        <v>0</v>
      </c>
      <c r="O20" s="126">
        <v>0</v>
      </c>
      <c r="P20" s="126">
        <f t="shared" si="1"/>
        <v>100</v>
      </c>
      <c r="Q20" s="126">
        <v>0</v>
      </c>
      <c r="R20" s="126">
        <v>0</v>
      </c>
      <c r="S20" s="126">
        <v>0</v>
      </c>
      <c r="T20" s="126">
        <v>0</v>
      </c>
      <c r="U20" s="127">
        <f t="shared" si="3"/>
        <v>100</v>
      </c>
      <c r="V20" s="127">
        <f t="shared" si="4"/>
        <v>100</v>
      </c>
      <c r="W20" s="127">
        <f t="shared" si="2"/>
        <v>0</v>
      </c>
      <c r="X20" s="132"/>
    </row>
    <row r="21" ht="45.65" customHeight="1" spans="1:24" x14ac:dyDescent="0.25">
      <c r="A21" s="121">
        <f t="shared" si="5"/>
        <v>16</v>
      </c>
      <c r="B21" s="122" t="s">
        <v>263</v>
      </c>
      <c r="C21" s="123" t="s">
        <v>132</v>
      </c>
      <c r="D21" s="124"/>
      <c r="E21" s="124" t="s">
        <v>97</v>
      </c>
      <c r="F21" s="124" t="s">
        <v>110</v>
      </c>
      <c r="G21" s="123" t="s">
        <v>133</v>
      </c>
      <c r="H21" s="122">
        <v>450</v>
      </c>
      <c r="I21" s="125">
        <v>26</v>
      </c>
      <c r="J21" s="125">
        <v>0</v>
      </c>
      <c r="K21" s="126">
        <f t="shared" si="0"/>
        <v>450</v>
      </c>
      <c r="L21" s="126">
        <v>0</v>
      </c>
      <c r="M21" s="126">
        <v>0</v>
      </c>
      <c r="N21" s="126">
        <v>0</v>
      </c>
      <c r="O21" s="126">
        <v>0</v>
      </c>
      <c r="P21" s="126">
        <f t="shared" si="1"/>
        <v>450</v>
      </c>
      <c r="Q21" s="126">
        <v>0</v>
      </c>
      <c r="R21" s="126">
        <v>0</v>
      </c>
      <c r="S21" s="126">
        <v>50</v>
      </c>
      <c r="T21" s="126">
        <v>0</v>
      </c>
      <c r="U21" s="127">
        <f t="shared" si="3"/>
        <v>400</v>
      </c>
      <c r="V21" s="127">
        <f t="shared" si="4"/>
        <v>400</v>
      </c>
      <c r="W21" s="127">
        <f t="shared" si="2"/>
        <v>0</v>
      </c>
      <c r="X21" s="132"/>
    </row>
    <row r="22" ht="45.65" customHeight="1" spans="1:24" x14ac:dyDescent="0.25">
      <c r="A22" s="121">
        <f t="shared" si="5"/>
        <v>17</v>
      </c>
      <c r="B22" s="122" t="s">
        <v>264</v>
      </c>
      <c r="C22" s="123" t="s">
        <v>136</v>
      </c>
      <c r="D22" s="124"/>
      <c r="E22" s="124" t="s">
        <v>109</v>
      </c>
      <c r="F22" s="124" t="s">
        <v>98</v>
      </c>
      <c r="G22" s="123" t="s">
        <v>137</v>
      </c>
      <c r="H22" s="122">
        <v>50</v>
      </c>
      <c r="I22" s="210">
        <v>26</v>
      </c>
      <c r="J22" s="125">
        <v>0</v>
      </c>
      <c r="K22" s="126">
        <f t="shared" si="0"/>
        <v>50</v>
      </c>
      <c r="L22" s="126">
        <v>0</v>
      </c>
      <c r="M22" s="151">
        <v>0</v>
      </c>
      <c r="N22" s="151">
        <v>0</v>
      </c>
      <c r="O22" s="151">
        <v>0</v>
      </c>
      <c r="P22" s="126">
        <f t="shared" si="1"/>
        <v>50</v>
      </c>
      <c r="Q22" s="151">
        <v>0</v>
      </c>
      <c r="R22" s="126">
        <v>0</v>
      </c>
      <c r="S22" s="151">
        <v>0</v>
      </c>
      <c r="T22" s="151">
        <v>0</v>
      </c>
      <c r="U22" s="211">
        <f t="shared" si="3"/>
        <v>50</v>
      </c>
      <c r="V22" s="127">
        <f t="shared" si="4"/>
        <v>50</v>
      </c>
      <c r="W22" s="127">
        <f t="shared" si="2"/>
        <v>0</v>
      </c>
      <c r="X22" s="212"/>
    </row>
    <row r="23" ht="45.65" customHeight="1" spans="1:24" x14ac:dyDescent="0.25">
      <c r="A23" s="121">
        <f t="shared" si="5"/>
        <v>18</v>
      </c>
      <c r="B23" s="122" t="s">
        <v>267</v>
      </c>
      <c r="C23" s="123" t="s">
        <v>138</v>
      </c>
      <c r="D23" s="124"/>
      <c r="E23" s="124" t="s">
        <v>109</v>
      </c>
      <c r="F23" s="124" t="s">
        <v>98</v>
      </c>
      <c r="G23" s="123" t="s">
        <v>139</v>
      </c>
      <c r="H23" s="122">
        <v>150</v>
      </c>
      <c r="I23" s="125">
        <v>26</v>
      </c>
      <c r="J23" s="125">
        <v>0</v>
      </c>
      <c r="K23" s="126">
        <f t="shared" si="0"/>
        <v>150</v>
      </c>
      <c r="L23" s="126">
        <v>0</v>
      </c>
      <c r="M23" s="126">
        <v>0</v>
      </c>
      <c r="N23" s="126">
        <v>0</v>
      </c>
      <c r="O23" s="126">
        <v>0</v>
      </c>
      <c r="P23" s="126">
        <f t="shared" si="1"/>
        <v>150</v>
      </c>
      <c r="Q23" s="126">
        <v>0</v>
      </c>
      <c r="R23" s="126">
        <v>8.65</v>
      </c>
      <c r="S23" s="126">
        <v>0</v>
      </c>
      <c r="T23" s="126">
        <v>0</v>
      </c>
      <c r="U23" s="127">
        <f t="shared" si="3"/>
        <v>141.35</v>
      </c>
      <c r="V23" s="127">
        <f t="shared" si="4"/>
        <v>141.35</v>
      </c>
      <c r="W23" s="127">
        <f t="shared" si="2"/>
        <v>0</v>
      </c>
      <c r="X23" s="132"/>
    </row>
    <row r="24" ht="45.65" customHeight="1" spans="1:24" x14ac:dyDescent="0.25">
      <c r="A24" s="121">
        <f t="shared" si="5"/>
        <v>19</v>
      </c>
      <c r="B24" s="122" t="s">
        <v>219</v>
      </c>
      <c r="C24" s="123" t="s">
        <v>220</v>
      </c>
      <c r="D24" s="124"/>
      <c r="E24" s="124" t="s">
        <v>141</v>
      </c>
      <c r="F24" s="124" t="s">
        <v>98</v>
      </c>
      <c r="G24" s="123"/>
      <c r="H24" s="122">
        <v>170</v>
      </c>
      <c r="I24" s="125">
        <v>26</v>
      </c>
      <c r="J24" s="125">
        <v>0</v>
      </c>
      <c r="K24" s="126">
        <f t="shared" si="0"/>
        <v>170</v>
      </c>
      <c r="L24" s="126">
        <v>0</v>
      </c>
      <c r="M24" s="126">
        <v>0</v>
      </c>
      <c r="N24" s="126">
        <v>0</v>
      </c>
      <c r="O24" s="126">
        <v>0</v>
      </c>
      <c r="P24" s="126">
        <f t="shared" si="1"/>
        <v>170</v>
      </c>
      <c r="Q24" s="126">
        <v>0</v>
      </c>
      <c r="R24" s="126">
        <v>0</v>
      </c>
      <c r="S24" s="126">
        <v>0</v>
      </c>
      <c r="T24" s="126">
        <v>0</v>
      </c>
      <c r="U24" s="127">
        <f t="shared" si="3"/>
        <v>170</v>
      </c>
      <c r="V24" s="127">
        <f t="shared" si="4"/>
        <v>170</v>
      </c>
      <c r="W24" s="127">
        <f t="shared" si="2"/>
        <v>0</v>
      </c>
      <c r="X24" s="132"/>
    </row>
    <row r="25" ht="45.65" customHeight="1" spans="1:24" x14ac:dyDescent="0.25">
      <c r="A25" s="121">
        <f t="shared" si="5"/>
        <v>20</v>
      </c>
      <c r="B25" s="122" t="s">
        <v>221</v>
      </c>
      <c r="C25" s="123" t="s">
        <v>222</v>
      </c>
      <c r="D25" s="124"/>
      <c r="E25" s="124" t="s">
        <v>141</v>
      </c>
      <c r="F25" s="124" t="s">
        <v>98</v>
      </c>
      <c r="G25" s="123"/>
      <c r="H25" s="122">
        <v>150</v>
      </c>
      <c r="I25" s="125">
        <v>26</v>
      </c>
      <c r="J25" s="125">
        <v>0</v>
      </c>
      <c r="K25" s="126">
        <f t="shared" si="0"/>
        <v>150</v>
      </c>
      <c r="L25" s="126">
        <v>0</v>
      </c>
      <c r="M25" s="126">
        <v>0</v>
      </c>
      <c r="N25" s="126">
        <v>0</v>
      </c>
      <c r="O25" s="126">
        <v>0</v>
      </c>
      <c r="P25" s="126">
        <f t="shared" si="1"/>
        <v>150</v>
      </c>
      <c r="Q25" s="126">
        <v>0</v>
      </c>
      <c r="R25" s="126">
        <v>0</v>
      </c>
      <c r="S25" s="126">
        <v>0</v>
      </c>
      <c r="T25" s="126">
        <v>0</v>
      </c>
      <c r="U25" s="127">
        <f t="shared" si="3"/>
        <v>150</v>
      </c>
      <c r="V25" s="127">
        <f t="shared" si="4"/>
        <v>150</v>
      </c>
      <c r="W25" s="127">
        <f t="shared" si="2"/>
        <v>0</v>
      </c>
      <c r="X25" s="132"/>
    </row>
    <row r="26" ht="45.65" customHeight="1" spans="1:24" x14ac:dyDescent="0.25">
      <c r="A26" s="121">
        <f t="shared" si="5"/>
        <v>21</v>
      </c>
      <c r="B26" s="122" t="s">
        <v>293</v>
      </c>
      <c r="C26" s="123" t="s">
        <v>294</v>
      </c>
      <c r="D26" s="124"/>
      <c r="E26" s="124" t="s">
        <v>116</v>
      </c>
      <c r="F26" s="124" t="s">
        <v>98</v>
      </c>
      <c r="G26" s="123"/>
      <c r="H26" s="122">
        <v>100</v>
      </c>
      <c r="I26" s="125">
        <v>26</v>
      </c>
      <c r="J26" s="125">
        <v>0</v>
      </c>
      <c r="K26" s="126">
        <f t="shared" si="0"/>
        <v>100</v>
      </c>
      <c r="L26" s="126">
        <v>0</v>
      </c>
      <c r="M26" s="126">
        <v>0</v>
      </c>
      <c r="N26" s="126">
        <v>0</v>
      </c>
      <c r="O26" s="126">
        <v>0</v>
      </c>
      <c r="P26" s="126">
        <f t="shared" si="1"/>
        <v>100</v>
      </c>
      <c r="Q26" s="126">
        <v>0</v>
      </c>
      <c r="R26" s="126">
        <v>0</v>
      </c>
      <c r="S26" s="126">
        <v>0</v>
      </c>
      <c r="T26" s="126">
        <v>0</v>
      </c>
      <c r="U26" s="127">
        <f t="shared" si="3"/>
        <v>100</v>
      </c>
      <c r="V26" s="127">
        <f t="shared" si="4"/>
        <v>100</v>
      </c>
      <c r="W26" s="127">
        <f t="shared" si="2"/>
        <v>0</v>
      </c>
      <c r="X26" s="132"/>
    </row>
    <row r="27" ht="45.65" customHeight="1" spans="1:24" x14ac:dyDescent="0.25">
      <c r="A27" s="121">
        <f t="shared" si="5"/>
        <v>22</v>
      </c>
      <c r="B27" s="122" t="s">
        <v>269</v>
      </c>
      <c r="C27" s="123" t="s">
        <v>144</v>
      </c>
      <c r="D27" s="124"/>
      <c r="E27" s="124" t="s">
        <v>141</v>
      </c>
      <c r="F27" s="124" t="s">
        <v>98</v>
      </c>
      <c r="G27" s="123" t="s">
        <v>69</v>
      </c>
      <c r="H27" s="122">
        <v>80</v>
      </c>
      <c r="I27" s="125">
        <v>26</v>
      </c>
      <c r="J27" s="125">
        <v>0</v>
      </c>
      <c r="K27" s="126">
        <f t="shared" si="0"/>
        <v>80</v>
      </c>
      <c r="L27" s="126">
        <v>0</v>
      </c>
      <c r="M27" s="126">
        <v>0</v>
      </c>
      <c r="N27" s="126">
        <v>0</v>
      </c>
      <c r="O27" s="126">
        <v>0</v>
      </c>
      <c r="P27" s="126">
        <f t="shared" si="1"/>
        <v>80</v>
      </c>
      <c r="Q27" s="126">
        <v>0</v>
      </c>
      <c r="R27" s="126">
        <v>0</v>
      </c>
      <c r="S27" s="126">
        <v>0</v>
      </c>
      <c r="T27" s="126">
        <v>0</v>
      </c>
      <c r="U27" s="127">
        <f t="shared" si="3"/>
        <v>80</v>
      </c>
      <c r="V27" s="127">
        <f t="shared" si="4"/>
        <v>80</v>
      </c>
      <c r="W27" s="127">
        <f t="shared" si="2"/>
        <v>0</v>
      </c>
      <c r="X27" s="132"/>
    </row>
    <row r="28" ht="45.65" customHeight="1" spans="1:24" x14ac:dyDescent="0.25">
      <c r="A28" s="121">
        <f t="shared" si="5"/>
        <v>23</v>
      </c>
      <c r="B28" s="122" t="s">
        <v>270</v>
      </c>
      <c r="C28" s="123" t="s">
        <v>145</v>
      </c>
      <c r="D28" s="124"/>
      <c r="E28" s="124" t="s">
        <v>97</v>
      </c>
      <c r="F28" s="124" t="s">
        <v>146</v>
      </c>
      <c r="G28" s="123"/>
      <c r="H28" s="122">
        <v>150</v>
      </c>
      <c r="I28" s="125">
        <v>26</v>
      </c>
      <c r="J28" s="125">
        <v>0</v>
      </c>
      <c r="K28" s="126">
        <f t="shared" si="0"/>
        <v>150</v>
      </c>
      <c r="L28" s="126">
        <v>0</v>
      </c>
      <c r="M28" s="126">
        <v>0</v>
      </c>
      <c r="N28" s="126">
        <v>0</v>
      </c>
      <c r="O28" s="126">
        <v>0</v>
      </c>
      <c r="P28" s="126">
        <f t="shared" si="1"/>
        <v>150</v>
      </c>
      <c r="Q28" s="126">
        <v>0</v>
      </c>
      <c r="R28" s="126">
        <v>0</v>
      </c>
      <c r="S28" s="126">
        <v>0</v>
      </c>
      <c r="T28" s="126">
        <v>0</v>
      </c>
      <c r="U28" s="127">
        <f t="shared" si="3"/>
        <v>150</v>
      </c>
      <c r="V28" s="127">
        <f t="shared" si="4"/>
        <v>150</v>
      </c>
      <c r="W28" s="127">
        <f t="shared" si="2"/>
        <v>0</v>
      </c>
      <c r="X28" s="132"/>
    </row>
    <row r="29" ht="45.65" customHeight="1" spans="1:24" x14ac:dyDescent="0.25">
      <c r="A29" s="121">
        <f t="shared" si="5"/>
        <v>24</v>
      </c>
      <c r="B29" s="122" t="s">
        <v>223</v>
      </c>
      <c r="C29" s="123" t="s">
        <v>224</v>
      </c>
      <c r="D29" s="124"/>
      <c r="E29" s="124" t="s">
        <v>141</v>
      </c>
      <c r="F29" s="124" t="s">
        <v>110</v>
      </c>
      <c r="G29" s="123"/>
      <c r="H29" s="122">
        <v>150</v>
      </c>
      <c r="I29" s="125">
        <v>26</v>
      </c>
      <c r="J29" s="125">
        <v>0</v>
      </c>
      <c r="K29" s="126">
        <f t="shared" si="0"/>
        <v>150</v>
      </c>
      <c r="L29" s="126">
        <v>0</v>
      </c>
      <c r="M29" s="126">
        <v>0</v>
      </c>
      <c r="N29" s="126">
        <v>0</v>
      </c>
      <c r="O29" s="126">
        <v>0</v>
      </c>
      <c r="P29" s="126">
        <f t="shared" si="1"/>
        <v>150</v>
      </c>
      <c r="Q29" s="126">
        <v>0</v>
      </c>
      <c r="R29" s="126">
        <v>0</v>
      </c>
      <c r="S29" s="126">
        <v>0</v>
      </c>
      <c r="T29" s="126">
        <v>0</v>
      </c>
      <c r="U29" s="127">
        <f t="shared" si="3"/>
        <v>150</v>
      </c>
      <c r="V29" s="127">
        <f t="shared" si="4"/>
        <v>150</v>
      </c>
      <c r="W29" s="127">
        <f t="shared" si="2"/>
        <v>0</v>
      </c>
      <c r="X29" s="132"/>
    </row>
    <row r="30" ht="45.65" customHeight="1" spans="1:24" x14ac:dyDescent="0.25">
      <c r="A30" s="121">
        <f t="shared" si="5"/>
        <v>25</v>
      </c>
      <c r="B30" s="122" t="s">
        <v>271</v>
      </c>
      <c r="C30" s="123" t="s">
        <v>148</v>
      </c>
      <c r="D30" s="124"/>
      <c r="E30" s="124" t="s">
        <v>116</v>
      </c>
      <c r="F30" s="124" t="s">
        <v>110</v>
      </c>
      <c r="G30" s="123"/>
      <c r="H30" s="122">
        <v>200</v>
      </c>
      <c r="I30" s="125">
        <v>26</v>
      </c>
      <c r="J30" s="125">
        <v>0</v>
      </c>
      <c r="K30" s="126">
        <f t="shared" si="0"/>
        <v>200</v>
      </c>
      <c r="L30" s="126">
        <v>0</v>
      </c>
      <c r="M30" s="126">
        <v>0</v>
      </c>
      <c r="N30" s="126">
        <v>0</v>
      </c>
      <c r="O30" s="126">
        <v>0</v>
      </c>
      <c r="P30" s="126">
        <f t="shared" si="1"/>
        <v>200</v>
      </c>
      <c r="Q30" s="126">
        <v>0</v>
      </c>
      <c r="R30" s="126">
        <v>0</v>
      </c>
      <c r="S30" s="126">
        <v>0</v>
      </c>
      <c r="T30" s="126">
        <v>0</v>
      </c>
      <c r="U30" s="127">
        <f t="shared" si="3"/>
        <v>200</v>
      </c>
      <c r="V30" s="127">
        <f t="shared" si="4"/>
        <v>200</v>
      </c>
      <c r="W30" s="127">
        <f t="shared" si="2"/>
        <v>0</v>
      </c>
      <c r="X30" s="132"/>
    </row>
    <row r="31" ht="45.65" customHeight="1" spans="1:24" x14ac:dyDescent="0.25">
      <c r="A31" s="121">
        <f t="shared" si="5"/>
        <v>26</v>
      </c>
      <c r="B31" s="122" t="s">
        <v>272</v>
      </c>
      <c r="C31" s="123" t="s">
        <v>149</v>
      </c>
      <c r="D31" s="124"/>
      <c r="E31" s="124" t="s">
        <v>116</v>
      </c>
      <c r="F31" s="124" t="s">
        <v>98</v>
      </c>
      <c r="G31" s="123"/>
      <c r="H31" s="122">
        <v>250</v>
      </c>
      <c r="I31" s="125">
        <v>26</v>
      </c>
      <c r="J31" s="125">
        <v>0</v>
      </c>
      <c r="K31" s="126">
        <f t="shared" si="0"/>
        <v>250</v>
      </c>
      <c r="L31" s="126">
        <v>0</v>
      </c>
      <c r="M31" s="126">
        <v>0</v>
      </c>
      <c r="N31" s="126">
        <v>0</v>
      </c>
      <c r="O31" s="126">
        <v>0</v>
      </c>
      <c r="P31" s="126">
        <f t="shared" si="1"/>
        <v>250</v>
      </c>
      <c r="Q31" s="126">
        <v>0</v>
      </c>
      <c r="R31" s="126">
        <v>0</v>
      </c>
      <c r="S31" s="126">
        <v>0</v>
      </c>
      <c r="T31" s="126">
        <v>0</v>
      </c>
      <c r="U31" s="127">
        <f t="shared" si="3"/>
        <v>250</v>
      </c>
      <c r="V31" s="127">
        <f t="shared" si="4"/>
        <v>250</v>
      </c>
      <c r="W31" s="127">
        <f t="shared" si="2"/>
        <v>0</v>
      </c>
      <c r="X31" s="132"/>
    </row>
    <row r="32" ht="45.65" customHeight="1" spans="1:24" x14ac:dyDescent="0.25">
      <c r="A32" s="121">
        <f t="shared" si="5"/>
        <v>27</v>
      </c>
      <c r="B32" s="122" t="s">
        <v>226</v>
      </c>
      <c r="C32" s="123" t="s">
        <v>152</v>
      </c>
      <c r="D32" s="124"/>
      <c r="E32" s="124" t="s">
        <v>97</v>
      </c>
      <c r="F32" s="124" t="s">
        <v>98</v>
      </c>
      <c r="G32" s="123" t="s">
        <v>153</v>
      </c>
      <c r="H32" s="122">
        <v>270</v>
      </c>
      <c r="I32" s="125">
        <v>26</v>
      </c>
      <c r="J32" s="125">
        <v>0</v>
      </c>
      <c r="K32" s="126">
        <f t="shared" si="0"/>
        <v>270</v>
      </c>
      <c r="L32" s="126">
        <v>0</v>
      </c>
      <c r="M32" s="126">
        <v>0</v>
      </c>
      <c r="N32" s="126">
        <v>0</v>
      </c>
      <c r="O32" s="126">
        <v>0</v>
      </c>
      <c r="P32" s="126">
        <f t="shared" si="1"/>
        <v>270</v>
      </c>
      <c r="Q32" s="126">
        <v>0</v>
      </c>
      <c r="R32" s="126">
        <v>124.62</v>
      </c>
      <c r="S32" s="126">
        <v>0</v>
      </c>
      <c r="T32" s="126">
        <v>0</v>
      </c>
      <c r="U32" s="127">
        <f t="shared" si="3"/>
        <v>145.38</v>
      </c>
      <c r="V32" s="127">
        <f t="shared" si="4"/>
        <v>145.38</v>
      </c>
      <c r="W32" s="127">
        <f t="shared" si="2"/>
        <v>0</v>
      </c>
      <c r="X32" s="132"/>
    </row>
    <row r="33" ht="45.65" customHeight="1" spans="1:24" x14ac:dyDescent="0.25">
      <c r="A33" s="121">
        <f t="shared" si="5"/>
        <v>28</v>
      </c>
      <c r="B33" s="122" t="s">
        <v>273</v>
      </c>
      <c r="C33" s="123" t="s">
        <v>246</v>
      </c>
      <c r="D33" s="124"/>
      <c r="E33" s="124" t="s">
        <v>100</v>
      </c>
      <c r="F33" s="124" t="s">
        <v>98</v>
      </c>
      <c r="G33" s="123"/>
      <c r="H33" s="122">
        <v>280</v>
      </c>
      <c r="I33" s="125">
        <v>26</v>
      </c>
      <c r="J33" s="125">
        <v>0</v>
      </c>
      <c r="K33" s="126">
        <f t="shared" si="0"/>
        <v>280</v>
      </c>
      <c r="L33" s="126">
        <v>0</v>
      </c>
      <c r="M33" s="126">
        <v>30</v>
      </c>
      <c r="N33" s="126">
        <v>0</v>
      </c>
      <c r="O33" s="126">
        <v>0</v>
      </c>
      <c r="P33" s="126">
        <f t="shared" si="1"/>
        <v>310</v>
      </c>
      <c r="Q33" s="126">
        <v>0</v>
      </c>
      <c r="R33" s="126">
        <v>0</v>
      </c>
      <c r="S33" s="126">
        <v>0</v>
      </c>
      <c r="T33" s="126">
        <v>0</v>
      </c>
      <c r="U33" s="127">
        <f t="shared" si="3"/>
        <v>310</v>
      </c>
      <c r="V33" s="127">
        <f t="shared" si="4"/>
        <v>310</v>
      </c>
      <c r="W33" s="127">
        <f t="shared" si="2"/>
        <v>0</v>
      </c>
      <c r="X33" s="132"/>
    </row>
    <row r="34" ht="45.65" customHeight="1" spans="1:24" x14ac:dyDescent="0.25">
      <c r="A34" s="121">
        <f t="shared" si="5"/>
        <v>29</v>
      </c>
      <c r="B34" s="122" t="s">
        <v>227</v>
      </c>
      <c r="C34" s="123" t="s">
        <v>191</v>
      </c>
      <c r="D34" s="124"/>
      <c r="E34" s="124" t="s">
        <v>97</v>
      </c>
      <c r="F34" s="124" t="s">
        <v>98</v>
      </c>
      <c r="G34" s="123"/>
      <c r="H34" s="122">
        <v>400</v>
      </c>
      <c r="I34" s="125">
        <v>26</v>
      </c>
      <c r="J34" s="125">
        <v>0</v>
      </c>
      <c r="K34" s="126">
        <f t="shared" si="0"/>
        <v>400</v>
      </c>
      <c r="L34" s="126">
        <v>0</v>
      </c>
      <c r="M34" s="126">
        <v>0</v>
      </c>
      <c r="N34" s="126">
        <v>0</v>
      </c>
      <c r="O34" s="126">
        <v>0</v>
      </c>
      <c r="P34" s="126">
        <f t="shared" si="1"/>
        <v>400</v>
      </c>
      <c r="Q34" s="126">
        <v>0</v>
      </c>
      <c r="R34" s="126">
        <v>0</v>
      </c>
      <c r="S34" s="126">
        <v>0</v>
      </c>
      <c r="T34" s="152">
        <v>0</v>
      </c>
      <c r="U34" s="127">
        <f t="shared" si="3"/>
        <v>400</v>
      </c>
      <c r="V34" s="127">
        <v>800</v>
      </c>
      <c r="W34" s="127">
        <f t="shared" si="2"/>
        <v>400</v>
      </c>
      <c r="X34" s="132" t="s">
        <v>57</v>
      </c>
    </row>
    <row r="35" ht="45.65" customHeight="1" spans="1:24" x14ac:dyDescent="0.25">
      <c r="A35" s="121">
        <f t="shared" si="5"/>
        <v>30</v>
      </c>
      <c r="B35" s="122" t="s">
        <v>228</v>
      </c>
      <c r="C35" s="123" t="s">
        <v>247</v>
      </c>
      <c r="D35" s="124"/>
      <c r="E35" s="124" t="s">
        <v>97</v>
      </c>
      <c r="F35" s="124" t="s">
        <v>156</v>
      </c>
      <c r="G35" s="123" t="s">
        <v>160</v>
      </c>
      <c r="H35" s="122">
        <v>450</v>
      </c>
      <c r="I35" s="210">
        <v>26</v>
      </c>
      <c r="J35" s="125">
        <v>0</v>
      </c>
      <c r="K35" s="126">
        <f t="shared" si="0"/>
        <v>450</v>
      </c>
      <c r="L35" s="126">
        <v>0</v>
      </c>
      <c r="M35" s="151">
        <v>0</v>
      </c>
      <c r="N35" s="151">
        <v>0</v>
      </c>
      <c r="O35" s="151">
        <v>0</v>
      </c>
      <c r="P35" s="126">
        <f t="shared" si="1"/>
        <v>450</v>
      </c>
      <c r="Q35" s="151">
        <v>0</v>
      </c>
      <c r="R35" s="126">
        <v>0</v>
      </c>
      <c r="S35" s="151">
        <v>0</v>
      </c>
      <c r="T35" s="152">
        <v>0</v>
      </c>
      <c r="U35" s="211">
        <f t="shared" si="3"/>
        <v>450</v>
      </c>
      <c r="V35" s="127">
        <v>600</v>
      </c>
      <c r="W35" s="127">
        <f t="shared" si="2"/>
        <v>150</v>
      </c>
      <c r="X35" s="132" t="s">
        <v>57</v>
      </c>
    </row>
    <row r="36" ht="45.65" customHeight="1" spans="1:24" x14ac:dyDescent="0.25">
      <c r="A36" s="121">
        <f t="shared" si="5"/>
        <v>31</v>
      </c>
      <c r="B36" s="122" t="s">
        <v>229</v>
      </c>
      <c r="C36" s="123" t="s">
        <v>161</v>
      </c>
      <c r="D36" s="124"/>
      <c r="E36" s="124" t="s">
        <v>97</v>
      </c>
      <c r="F36" s="124" t="s">
        <v>156</v>
      </c>
      <c r="G36" s="123" t="s">
        <v>162</v>
      </c>
      <c r="H36" s="122">
        <v>550</v>
      </c>
      <c r="I36" s="125">
        <v>26</v>
      </c>
      <c r="J36" s="125">
        <v>0</v>
      </c>
      <c r="K36" s="126">
        <f t="shared" si="0"/>
        <v>550</v>
      </c>
      <c r="L36" s="126">
        <v>0</v>
      </c>
      <c r="M36" s="126">
        <v>0</v>
      </c>
      <c r="N36" s="126">
        <v>0</v>
      </c>
      <c r="O36" s="126">
        <v>0</v>
      </c>
      <c r="P36" s="126">
        <f t="shared" si="1"/>
        <v>550</v>
      </c>
      <c r="Q36" s="126">
        <v>0</v>
      </c>
      <c r="R36" s="126">
        <v>0</v>
      </c>
      <c r="S36" s="126">
        <v>0</v>
      </c>
      <c r="T36" s="126">
        <v>0</v>
      </c>
      <c r="U36" s="127">
        <f t="shared" si="3"/>
        <v>550</v>
      </c>
      <c r="V36" s="127">
        <f t="shared" si="4"/>
        <v>550</v>
      </c>
      <c r="W36" s="127">
        <f t="shared" si="2"/>
        <v>0</v>
      </c>
      <c r="X36" s="132"/>
    </row>
    <row r="37" ht="45.65" customHeight="1" spans="1:24" x14ac:dyDescent="0.25">
      <c r="A37" s="121">
        <f t="shared" si="5"/>
        <v>32</v>
      </c>
      <c r="B37" s="122" t="s">
        <v>231</v>
      </c>
      <c r="C37" s="123" t="s">
        <v>165</v>
      </c>
      <c r="D37" s="124"/>
      <c r="E37" s="124" t="s">
        <v>97</v>
      </c>
      <c r="F37" s="124" t="s">
        <v>156</v>
      </c>
      <c r="G37" s="123" t="s">
        <v>164</v>
      </c>
      <c r="H37" s="122">
        <v>450</v>
      </c>
      <c r="I37" s="125">
        <v>26</v>
      </c>
      <c r="J37" s="125">
        <v>0</v>
      </c>
      <c r="K37" s="126">
        <f t="shared" si="0"/>
        <v>450</v>
      </c>
      <c r="L37" s="126">
        <v>0</v>
      </c>
      <c r="M37" s="126">
        <v>0</v>
      </c>
      <c r="N37" s="126">
        <v>0</v>
      </c>
      <c r="O37" s="126">
        <v>0</v>
      </c>
      <c r="P37" s="126">
        <f t="shared" si="1"/>
        <v>450</v>
      </c>
      <c r="Q37" s="126">
        <v>0</v>
      </c>
      <c r="R37" s="126">
        <v>0</v>
      </c>
      <c r="S37" s="126">
        <v>0</v>
      </c>
      <c r="T37" s="126">
        <v>0</v>
      </c>
      <c r="U37" s="127">
        <f t="shared" si="3"/>
        <v>450</v>
      </c>
      <c r="V37" s="127">
        <f t="shared" si="4"/>
        <v>450</v>
      </c>
      <c r="W37" s="127">
        <f t="shared" si="2"/>
        <v>0</v>
      </c>
      <c r="X37" s="132"/>
    </row>
    <row r="38" ht="45.65" customHeight="1" spans="1:24" x14ac:dyDescent="0.25">
      <c r="A38" s="121">
        <f t="shared" si="5"/>
        <v>33</v>
      </c>
      <c r="B38" s="122" t="s">
        <v>233</v>
      </c>
      <c r="C38" s="123" t="s">
        <v>166</v>
      </c>
      <c r="D38" s="124"/>
      <c r="E38" s="124" t="s">
        <v>100</v>
      </c>
      <c r="F38" s="124" t="s">
        <v>98</v>
      </c>
      <c r="G38" s="123" t="s">
        <v>167</v>
      </c>
      <c r="H38" s="122">
        <v>260</v>
      </c>
      <c r="I38" s="125">
        <v>26</v>
      </c>
      <c r="J38" s="125">
        <v>0</v>
      </c>
      <c r="K38" s="126">
        <f t="shared" si="0"/>
        <v>260</v>
      </c>
      <c r="L38" s="126">
        <v>0</v>
      </c>
      <c r="M38" s="126">
        <v>0</v>
      </c>
      <c r="N38" s="126">
        <v>0</v>
      </c>
      <c r="O38" s="126">
        <v>0</v>
      </c>
      <c r="P38" s="126">
        <f t="shared" si="1"/>
        <v>260</v>
      </c>
      <c r="Q38" s="126">
        <v>0</v>
      </c>
      <c r="R38" s="126">
        <v>0</v>
      </c>
      <c r="S38" s="126">
        <v>0</v>
      </c>
      <c r="T38" s="126">
        <v>0</v>
      </c>
      <c r="U38" s="127">
        <f t="shared" si="3"/>
        <v>260</v>
      </c>
      <c r="V38" s="127">
        <f t="shared" si="4"/>
        <v>260</v>
      </c>
      <c r="W38" s="127">
        <f t="shared" si="2"/>
        <v>0</v>
      </c>
      <c r="X38" s="132"/>
    </row>
    <row r="39" ht="45.65" customHeight="1" spans="1:24" x14ac:dyDescent="0.25">
      <c r="A39" s="121">
        <f t="shared" si="5"/>
        <v>34</v>
      </c>
      <c r="B39" s="129" t="s">
        <v>261</v>
      </c>
      <c r="C39" s="130" t="s">
        <v>114</v>
      </c>
      <c r="D39" s="124"/>
      <c r="E39" s="124" t="s">
        <v>100</v>
      </c>
      <c r="F39" s="124" t="s">
        <v>98</v>
      </c>
      <c r="G39" s="130" t="s">
        <v>59</v>
      </c>
      <c r="H39" s="129">
        <v>160</v>
      </c>
      <c r="I39" s="210">
        <v>26</v>
      </c>
      <c r="J39" s="125">
        <v>0</v>
      </c>
      <c r="K39" s="151">
        <f t="shared" si="0"/>
        <v>160</v>
      </c>
      <c r="L39" s="126">
        <v>0</v>
      </c>
      <c r="M39" s="151">
        <v>0</v>
      </c>
      <c r="N39" s="151">
        <v>0</v>
      </c>
      <c r="O39" s="151">
        <v>0</v>
      </c>
      <c r="P39" s="126">
        <f t="shared" si="1"/>
        <v>160</v>
      </c>
      <c r="Q39" s="151">
        <v>0</v>
      </c>
      <c r="R39" s="126">
        <v>0</v>
      </c>
      <c r="S39" s="151">
        <v>0</v>
      </c>
      <c r="T39" s="151">
        <v>0</v>
      </c>
      <c r="U39" s="211">
        <f t="shared" si="3"/>
        <v>160</v>
      </c>
      <c r="V39" s="127">
        <f t="shared" si="4"/>
        <v>160</v>
      </c>
      <c r="W39" s="127">
        <f t="shared" si="2"/>
        <v>0</v>
      </c>
      <c r="X39" s="132"/>
    </row>
    <row r="40" ht="45.65" customHeight="1" spans="1:24" s="213" customFormat="1" x14ac:dyDescent="0.25">
      <c r="A40" s="121">
        <f t="shared" si="5"/>
        <v>35</v>
      </c>
      <c r="B40" s="122" t="s">
        <v>279</v>
      </c>
      <c r="C40" s="123" t="s">
        <v>181</v>
      </c>
      <c r="D40" s="124"/>
      <c r="E40" s="124" t="s">
        <v>177</v>
      </c>
      <c r="F40" s="124" t="s">
        <v>98</v>
      </c>
      <c r="G40" s="123" t="s">
        <v>178</v>
      </c>
      <c r="H40" s="122">
        <v>240</v>
      </c>
      <c r="I40" s="125">
        <v>26</v>
      </c>
      <c r="J40" s="125">
        <v>0</v>
      </c>
      <c r="K40" s="126">
        <f>H40/26*I40</f>
        <v>239.99999999999997</v>
      </c>
      <c r="L40" s="126">
        <v>0</v>
      </c>
      <c r="M40" s="126">
        <v>0</v>
      </c>
      <c r="N40" s="126">
        <v>0</v>
      </c>
      <c r="O40" s="126">
        <v>0</v>
      </c>
      <c r="P40" s="126">
        <f t="shared" si="1"/>
        <v>239.99999999999997</v>
      </c>
      <c r="Q40" s="126">
        <v>0</v>
      </c>
      <c r="R40" s="126">
        <v>16.73</v>
      </c>
      <c r="S40" s="126">
        <v>0</v>
      </c>
      <c r="T40" s="126">
        <v>0</v>
      </c>
      <c r="U40" s="127">
        <f>P40-Q40-R40-S40-T40</f>
        <v>223.26999999999998</v>
      </c>
      <c r="V40" s="127">
        <f t="shared" si="4"/>
        <v>223.26999999999998</v>
      </c>
      <c r="W40" s="127">
        <f t="shared" si="2"/>
        <v>0</v>
      </c>
      <c r="X40" s="132"/>
    </row>
    <row r="41" ht="45.65" customHeight="1" spans="1:24" s="213" customFormat="1" x14ac:dyDescent="0.25">
      <c r="A41" s="121">
        <f t="shared" si="5"/>
        <v>36</v>
      </c>
      <c r="B41" s="122" t="s">
        <v>280</v>
      </c>
      <c r="C41" s="123" t="s">
        <v>192</v>
      </c>
      <c r="D41" s="124"/>
      <c r="E41" s="124" t="s">
        <v>177</v>
      </c>
      <c r="F41" s="124" t="s">
        <v>98</v>
      </c>
      <c r="G41" s="123" t="s">
        <v>178</v>
      </c>
      <c r="H41" s="122">
        <v>150</v>
      </c>
      <c r="I41" s="125">
        <v>26</v>
      </c>
      <c r="J41" s="125">
        <v>0</v>
      </c>
      <c r="K41" s="126">
        <f>H41/26*I41</f>
        <v>150</v>
      </c>
      <c r="L41" s="126">
        <v>0</v>
      </c>
      <c r="M41" s="126">
        <v>11.54</v>
      </c>
      <c r="N41" s="126">
        <v>0</v>
      </c>
      <c r="O41" s="126">
        <v>0</v>
      </c>
      <c r="P41" s="126">
        <f t="shared" si="1"/>
        <v>161.54</v>
      </c>
      <c r="Q41" s="126">
        <v>0</v>
      </c>
      <c r="R41" s="126">
        <v>34.62</v>
      </c>
      <c r="S41" s="126">
        <v>0</v>
      </c>
      <c r="T41" s="126">
        <v>0</v>
      </c>
      <c r="U41" s="127">
        <f>P41-Q41-R41-S41-T41</f>
        <v>126.91999999999999</v>
      </c>
      <c r="V41" s="127">
        <f t="shared" si="4"/>
        <v>126.91999999999999</v>
      </c>
      <c r="W41" s="127">
        <f t="shared" si="2"/>
        <v>0</v>
      </c>
      <c r="X41" s="132"/>
    </row>
    <row r="42" ht="45.65" customHeight="1" spans="1:24" x14ac:dyDescent="0.25">
      <c r="A42" s="121">
        <f t="shared" si="5"/>
        <v>37</v>
      </c>
      <c r="B42" s="122" t="s">
        <v>281</v>
      </c>
      <c r="C42" s="171" t="s">
        <v>193</v>
      </c>
      <c r="D42" s="172"/>
      <c r="E42" s="172" t="s">
        <v>177</v>
      </c>
      <c r="F42" s="124" t="s">
        <v>98</v>
      </c>
      <c r="G42" s="171" t="s">
        <v>194</v>
      </c>
      <c r="H42" s="170">
        <v>150</v>
      </c>
      <c r="I42" s="173">
        <v>26</v>
      </c>
      <c r="J42" s="125">
        <v>0</v>
      </c>
      <c r="K42" s="174">
        <f>H42/26*I42</f>
        <v>150</v>
      </c>
      <c r="L42" s="126">
        <v>0</v>
      </c>
      <c r="M42" s="174">
        <v>0</v>
      </c>
      <c r="N42" s="174">
        <v>0</v>
      </c>
      <c r="O42" s="174">
        <v>0</v>
      </c>
      <c r="P42" s="126">
        <f t="shared" si="1"/>
        <v>150</v>
      </c>
      <c r="Q42" s="174">
        <v>0</v>
      </c>
      <c r="R42" s="126">
        <v>0</v>
      </c>
      <c r="S42" s="174">
        <v>0</v>
      </c>
      <c r="T42" s="174">
        <v>0</v>
      </c>
      <c r="U42" s="175">
        <f>P42-Q42-R42-S42-T42</f>
        <v>150</v>
      </c>
      <c r="V42" s="127">
        <f t="shared" si="4"/>
        <v>150</v>
      </c>
      <c r="W42" s="127">
        <f t="shared" si="2"/>
        <v>0</v>
      </c>
      <c r="X42" s="132"/>
    </row>
    <row r="43" ht="45.65" customHeight="1" spans="1:24" x14ac:dyDescent="0.25">
      <c r="A43" s="121">
        <f t="shared" si="5"/>
        <v>38</v>
      </c>
      <c r="B43" s="122" t="s">
        <v>282</v>
      </c>
      <c r="C43" s="178" t="s">
        <v>195</v>
      </c>
      <c r="D43" s="179"/>
      <c r="E43" s="260" t="s">
        <v>109</v>
      </c>
      <c r="F43" s="124" t="s">
        <v>98</v>
      </c>
      <c r="G43" s="178" t="s">
        <v>196</v>
      </c>
      <c r="H43" s="177">
        <v>250</v>
      </c>
      <c r="I43" s="180">
        <v>26</v>
      </c>
      <c r="J43" s="125">
        <v>0</v>
      </c>
      <c r="K43" s="181">
        <f t="shared" si="0"/>
        <v>250</v>
      </c>
      <c r="L43" s="126">
        <v>0</v>
      </c>
      <c r="M43" s="181">
        <v>0</v>
      </c>
      <c r="N43" s="181">
        <v>0</v>
      </c>
      <c r="O43" s="181">
        <v>0</v>
      </c>
      <c r="P43" s="126">
        <f t="shared" si="1"/>
        <v>250</v>
      </c>
      <c r="Q43" s="181">
        <v>0</v>
      </c>
      <c r="R43" s="126">
        <v>0</v>
      </c>
      <c r="S43" s="181">
        <v>0</v>
      </c>
      <c r="T43" s="181">
        <v>0</v>
      </c>
      <c r="U43" s="182">
        <f t="shared" si="3"/>
        <v>250</v>
      </c>
      <c r="V43" s="127">
        <f t="shared" si="4"/>
        <v>250</v>
      </c>
      <c r="W43" s="127">
        <f t="shared" si="2"/>
        <v>0</v>
      </c>
      <c r="X43" s="132"/>
    </row>
    <row r="44" ht="45.65" customHeight="1" spans="1:24" x14ac:dyDescent="0.25">
      <c r="A44" s="121">
        <f t="shared" si="5"/>
        <v>39</v>
      </c>
      <c r="B44" s="122" t="s">
        <v>283</v>
      </c>
      <c r="C44" s="155" t="s">
        <v>197</v>
      </c>
      <c r="D44" s="154"/>
      <c r="E44" s="154" t="s">
        <v>177</v>
      </c>
      <c r="F44" s="124" t="s">
        <v>98</v>
      </c>
      <c r="G44" s="155" t="s">
        <v>198</v>
      </c>
      <c r="H44" s="157">
        <v>100</v>
      </c>
      <c r="I44" s="125">
        <v>26</v>
      </c>
      <c r="J44" s="125">
        <v>0</v>
      </c>
      <c r="K44" s="126">
        <f t="shared" si="0"/>
        <v>100</v>
      </c>
      <c r="L44" s="126">
        <v>0</v>
      </c>
      <c r="M44" s="126">
        <v>0</v>
      </c>
      <c r="N44" s="126">
        <v>0</v>
      </c>
      <c r="O44" s="126">
        <v>0</v>
      </c>
      <c r="P44" s="126">
        <f t="shared" si="1"/>
        <v>100</v>
      </c>
      <c r="Q44" s="126">
        <v>0</v>
      </c>
      <c r="R44" s="126">
        <v>0</v>
      </c>
      <c r="S44" s="126">
        <v>0</v>
      </c>
      <c r="T44" s="126">
        <v>0</v>
      </c>
      <c r="U44" s="127">
        <f t="shared" si="3"/>
        <v>100</v>
      </c>
      <c r="V44" s="127">
        <f t="shared" si="4"/>
        <v>100</v>
      </c>
      <c r="W44" s="127">
        <f t="shared" si="2"/>
        <v>0</v>
      </c>
      <c r="X44" s="132"/>
    </row>
    <row r="45" ht="45.65" customHeight="1" spans="1:24" x14ac:dyDescent="0.25">
      <c r="A45" s="121">
        <f t="shared" si="5"/>
        <v>40</v>
      </c>
      <c r="B45" s="122" t="s">
        <v>284</v>
      </c>
      <c r="C45" s="155" t="s">
        <v>199</v>
      </c>
      <c r="D45" s="154"/>
      <c r="E45" s="154" t="s">
        <v>177</v>
      </c>
      <c r="F45" s="124" t="s">
        <v>98</v>
      </c>
      <c r="G45" s="155" t="s">
        <v>200</v>
      </c>
      <c r="H45" s="157">
        <v>150</v>
      </c>
      <c r="I45" s="125">
        <v>26</v>
      </c>
      <c r="J45" s="125">
        <v>0</v>
      </c>
      <c r="K45" s="126">
        <f t="shared" si="0"/>
        <v>150</v>
      </c>
      <c r="L45" s="126">
        <v>0</v>
      </c>
      <c r="M45" s="126">
        <v>0</v>
      </c>
      <c r="N45" s="126">
        <v>0</v>
      </c>
      <c r="O45" s="126">
        <v>0</v>
      </c>
      <c r="P45" s="126">
        <f t="shared" si="1"/>
        <v>150</v>
      </c>
      <c r="Q45" s="126">
        <v>0</v>
      </c>
      <c r="R45" s="126">
        <v>0</v>
      </c>
      <c r="S45" s="126">
        <v>0</v>
      </c>
      <c r="T45" s="126">
        <v>0</v>
      </c>
      <c r="U45" s="127">
        <f t="shared" si="3"/>
        <v>150</v>
      </c>
      <c r="V45" s="127">
        <f t="shared" si="4"/>
        <v>150</v>
      </c>
      <c r="W45" s="127">
        <f t="shared" si="2"/>
        <v>0</v>
      </c>
      <c r="X45" s="132"/>
    </row>
    <row r="46" ht="45.65" customHeight="1" spans="1:24" x14ac:dyDescent="0.25">
      <c r="A46" s="121">
        <f t="shared" si="5"/>
        <v>41</v>
      </c>
      <c r="B46" s="122" t="s">
        <v>285</v>
      </c>
      <c r="C46" s="155" t="s">
        <v>250</v>
      </c>
      <c r="D46" s="154"/>
      <c r="E46" s="154" t="s">
        <v>177</v>
      </c>
      <c r="F46" s="154" t="s">
        <v>98</v>
      </c>
      <c r="G46" s="155" t="s">
        <v>198</v>
      </c>
      <c r="H46" s="157">
        <v>100</v>
      </c>
      <c r="I46" s="125">
        <v>26</v>
      </c>
      <c r="J46" s="125">
        <v>0</v>
      </c>
      <c r="K46" s="126">
        <f t="shared" si="0"/>
        <v>100</v>
      </c>
      <c r="L46" s="126">
        <v>0</v>
      </c>
      <c r="M46" s="126">
        <v>0</v>
      </c>
      <c r="N46" s="126">
        <v>0</v>
      </c>
      <c r="O46" s="126">
        <v>0</v>
      </c>
      <c r="P46" s="126">
        <f t="shared" si="1"/>
        <v>100</v>
      </c>
      <c r="Q46" s="126">
        <v>0</v>
      </c>
      <c r="R46" s="126">
        <v>0</v>
      </c>
      <c r="S46" s="126">
        <v>0</v>
      </c>
      <c r="T46" s="126">
        <v>0</v>
      </c>
      <c r="U46" s="127">
        <f t="shared" si="3"/>
        <v>100</v>
      </c>
      <c r="V46" s="127">
        <f t="shared" si="4"/>
        <v>100</v>
      </c>
      <c r="W46" s="127">
        <f t="shared" si="2"/>
        <v>0</v>
      </c>
      <c r="X46" s="132"/>
    </row>
    <row r="47" ht="45.65" customHeight="1" spans="1:24" x14ac:dyDescent="0.25">
      <c r="A47" s="121">
        <f t="shared" si="5"/>
        <v>42</v>
      </c>
      <c r="B47" s="122" t="s">
        <v>252</v>
      </c>
      <c r="C47" s="155" t="s">
        <v>253</v>
      </c>
      <c r="D47" s="154"/>
      <c r="E47" s="154" t="s">
        <v>100</v>
      </c>
      <c r="F47" s="154" t="s">
        <v>98</v>
      </c>
      <c r="G47" s="155"/>
      <c r="H47" s="157">
        <v>500</v>
      </c>
      <c r="I47" s="125">
        <v>26</v>
      </c>
      <c r="J47" s="125">
        <v>0</v>
      </c>
      <c r="K47" s="126">
        <f t="shared" si="0"/>
        <v>500</v>
      </c>
      <c r="L47" s="126">
        <v>0</v>
      </c>
      <c r="M47" s="126">
        <v>0</v>
      </c>
      <c r="N47" s="126">
        <v>0</v>
      </c>
      <c r="O47" s="126">
        <v>0</v>
      </c>
      <c r="P47" s="126">
        <f t="shared" si="1"/>
        <v>500</v>
      </c>
      <c r="Q47" s="126">
        <v>0</v>
      </c>
      <c r="R47" s="126">
        <v>0</v>
      </c>
      <c r="S47" s="126">
        <v>0</v>
      </c>
      <c r="T47" s="126">
        <v>0</v>
      </c>
      <c r="U47" s="127">
        <f>P47-Q47-R47-S47-T47</f>
        <v>500</v>
      </c>
      <c r="V47" s="127">
        <f t="shared" si="4"/>
        <v>500</v>
      </c>
      <c r="W47" s="127">
        <f t="shared" si="2"/>
        <v>0</v>
      </c>
      <c r="X47" s="132"/>
    </row>
    <row r="48" ht="45.65" customHeight="1" spans="1:24" x14ac:dyDescent="0.25">
      <c r="A48" s="121">
        <f t="shared" si="5"/>
        <v>43</v>
      </c>
      <c r="B48" s="122" t="s">
        <v>287</v>
      </c>
      <c r="C48" s="155" t="s">
        <v>254</v>
      </c>
      <c r="D48" s="154"/>
      <c r="E48" s="154" t="s">
        <v>100</v>
      </c>
      <c r="F48" s="154" t="s">
        <v>98</v>
      </c>
      <c r="G48" s="155"/>
      <c r="H48" s="157">
        <v>350</v>
      </c>
      <c r="I48" s="125">
        <v>26</v>
      </c>
      <c r="J48" s="125">
        <v>0</v>
      </c>
      <c r="K48" s="126">
        <f t="shared" si="0"/>
        <v>350</v>
      </c>
      <c r="L48" s="126">
        <v>0</v>
      </c>
      <c r="M48" s="126">
        <v>0</v>
      </c>
      <c r="N48" s="126">
        <v>0</v>
      </c>
      <c r="O48" s="126">
        <v>0</v>
      </c>
      <c r="P48" s="126">
        <f t="shared" si="1"/>
        <v>350</v>
      </c>
      <c r="Q48" s="126">
        <v>0</v>
      </c>
      <c r="R48" s="126">
        <v>0</v>
      </c>
      <c r="S48" s="126">
        <v>0</v>
      </c>
      <c r="T48" s="126">
        <v>0</v>
      </c>
      <c r="U48" s="127">
        <f t="shared" si="3"/>
        <v>350</v>
      </c>
      <c r="V48" s="127">
        <f t="shared" si="4"/>
        <v>350</v>
      </c>
      <c r="W48" s="127">
        <f t="shared" si="2"/>
        <v>0</v>
      </c>
      <c r="X48" s="132"/>
    </row>
    <row r="49" ht="45.65" customHeight="1" spans="1:24" x14ac:dyDescent="0.25">
      <c r="A49" s="121">
        <f t="shared" si="5"/>
        <v>44</v>
      </c>
      <c r="B49" s="122" t="s">
        <v>288</v>
      </c>
      <c r="C49" s="155" t="s">
        <v>289</v>
      </c>
      <c r="D49" s="154"/>
      <c r="E49" s="154" t="s">
        <v>100</v>
      </c>
      <c r="F49" s="154" t="s">
        <v>98</v>
      </c>
      <c r="G49" s="155"/>
      <c r="H49" s="157">
        <v>80</v>
      </c>
      <c r="I49" s="125">
        <v>26</v>
      </c>
      <c r="J49" s="125">
        <v>0</v>
      </c>
      <c r="K49" s="126">
        <f t="shared" si="0"/>
        <v>80</v>
      </c>
      <c r="L49" s="126">
        <v>0</v>
      </c>
      <c r="M49" s="126">
        <v>0</v>
      </c>
      <c r="N49" s="126">
        <v>0</v>
      </c>
      <c r="O49" s="126">
        <v>0</v>
      </c>
      <c r="P49" s="126">
        <f t="shared" si="1"/>
        <v>80</v>
      </c>
      <c r="Q49" s="126">
        <v>0</v>
      </c>
      <c r="R49" s="126">
        <v>0</v>
      </c>
      <c r="S49" s="126">
        <v>0</v>
      </c>
      <c r="T49" s="126">
        <v>0</v>
      </c>
      <c r="U49" s="127">
        <f t="shared" si="3"/>
        <v>80</v>
      </c>
      <c r="V49" s="127">
        <f t="shared" si="4"/>
        <v>80</v>
      </c>
      <c r="W49" s="127">
        <f t="shared" si="2"/>
        <v>0</v>
      </c>
      <c r="X49" s="132"/>
    </row>
    <row r="50" ht="45.65" customHeight="1" spans="1:24" x14ac:dyDescent="0.25">
      <c r="A50" s="121">
        <f t="shared" si="5"/>
        <v>45</v>
      </c>
      <c r="B50" s="122" t="s">
        <v>290</v>
      </c>
      <c r="C50" s="155" t="s">
        <v>291</v>
      </c>
      <c r="D50" s="154"/>
      <c r="E50" s="154" t="s">
        <v>100</v>
      </c>
      <c r="F50" s="154" t="s">
        <v>98</v>
      </c>
      <c r="G50" s="155"/>
      <c r="H50" s="157">
        <v>60</v>
      </c>
      <c r="I50" s="125">
        <v>26</v>
      </c>
      <c r="J50" s="125">
        <v>0</v>
      </c>
      <c r="K50" s="126">
        <f t="shared" si="0"/>
        <v>59.99999999999999</v>
      </c>
      <c r="L50" s="126">
        <v>0</v>
      </c>
      <c r="M50" s="126">
        <v>0</v>
      </c>
      <c r="N50" s="126">
        <v>0</v>
      </c>
      <c r="O50" s="126">
        <v>0</v>
      </c>
      <c r="P50" s="126">
        <f t="shared" si="1"/>
        <v>59.99999999999999</v>
      </c>
      <c r="Q50" s="126">
        <v>0</v>
      </c>
      <c r="R50" s="126">
        <v>0</v>
      </c>
      <c r="S50" s="126">
        <v>0</v>
      </c>
      <c r="T50" s="126">
        <v>0</v>
      </c>
      <c r="U50" s="127">
        <f t="shared" si="3"/>
        <v>59.99999999999999</v>
      </c>
      <c r="V50" s="127">
        <f t="shared" si="4"/>
        <v>59.99999999999999</v>
      </c>
      <c r="W50" s="127">
        <f t="shared" si="2"/>
        <v>0</v>
      </c>
      <c r="X50" s="132"/>
    </row>
    <row r="51" ht="45.65" customHeight="1" spans="1:24" x14ac:dyDescent="0.25">
      <c r="A51" s="121">
        <f t="shared" si="5"/>
        <v>46</v>
      </c>
      <c r="B51" s="122" t="s">
        <v>295</v>
      </c>
      <c r="C51" s="155" t="s">
        <v>296</v>
      </c>
      <c r="D51" s="154"/>
      <c r="E51" s="154"/>
      <c r="F51" s="154"/>
      <c r="G51" s="155"/>
      <c r="H51" s="157">
        <v>270</v>
      </c>
      <c r="I51" s="125">
        <v>26</v>
      </c>
      <c r="J51" s="125">
        <v>0</v>
      </c>
      <c r="K51" s="126">
        <f t="shared" si="0"/>
        <v>270</v>
      </c>
      <c r="L51" s="126">
        <v>0</v>
      </c>
      <c r="M51" s="126">
        <v>0</v>
      </c>
      <c r="N51" s="126">
        <v>0</v>
      </c>
      <c r="O51" s="126">
        <v>0</v>
      </c>
      <c r="P51" s="126">
        <f t="shared" si="1"/>
        <v>270</v>
      </c>
      <c r="Q51" s="126">
        <v>0</v>
      </c>
      <c r="R51" s="126">
        <v>0</v>
      </c>
      <c r="S51" s="126">
        <v>0</v>
      </c>
      <c r="T51" s="126">
        <v>0</v>
      </c>
      <c r="U51" s="127">
        <f t="shared" si="3"/>
        <v>270</v>
      </c>
      <c r="V51" s="127">
        <f t="shared" si="4"/>
        <v>270</v>
      </c>
      <c r="W51" s="127">
        <f t="shared" si="2"/>
        <v>0</v>
      </c>
      <c r="X51" s="132"/>
    </row>
    <row r="52" ht="45.65" customHeight="1" spans="1:24" x14ac:dyDescent="0.25">
      <c r="A52" s="121">
        <f t="shared" si="5"/>
        <v>47</v>
      </c>
      <c r="B52" s="122" t="s">
        <v>297</v>
      </c>
      <c r="C52" s="155" t="s">
        <v>298</v>
      </c>
      <c r="D52" s="154"/>
      <c r="E52" s="154"/>
      <c r="F52" s="154"/>
      <c r="G52" s="155"/>
      <c r="H52" s="157">
        <v>80</v>
      </c>
      <c r="I52" s="125">
        <v>26</v>
      </c>
      <c r="J52" s="125">
        <v>0</v>
      </c>
      <c r="K52" s="126">
        <f t="shared" si="0"/>
        <v>80</v>
      </c>
      <c r="L52" s="126">
        <v>0</v>
      </c>
      <c r="M52" s="126">
        <v>0</v>
      </c>
      <c r="N52" s="126">
        <v>0</v>
      </c>
      <c r="O52" s="126">
        <v>0</v>
      </c>
      <c r="P52" s="126">
        <f t="shared" si="1"/>
        <v>80</v>
      </c>
      <c r="Q52" s="126">
        <v>0</v>
      </c>
      <c r="R52" s="126">
        <v>0</v>
      </c>
      <c r="S52" s="126">
        <v>0</v>
      </c>
      <c r="T52" s="126">
        <v>0</v>
      </c>
      <c r="U52" s="127">
        <f t="shared" si="3"/>
        <v>80</v>
      </c>
      <c r="V52" s="127">
        <f t="shared" si="4"/>
        <v>80</v>
      </c>
      <c r="W52" s="127">
        <f t="shared" si="2"/>
        <v>0</v>
      </c>
      <c r="X52" s="132"/>
    </row>
    <row r="53" ht="45.65" customHeight="1" spans="1:24" x14ac:dyDescent="0.25">
      <c r="A53" s="121">
        <f t="shared" si="5"/>
        <v>48</v>
      </c>
      <c r="B53" s="122" t="s">
        <v>277</v>
      </c>
      <c r="C53" s="123" t="s">
        <v>176</v>
      </c>
      <c r="D53" s="124"/>
      <c r="E53" s="124" t="s">
        <v>177</v>
      </c>
      <c r="F53" s="124" t="s">
        <v>98</v>
      </c>
      <c r="G53" s="123" t="s">
        <v>178</v>
      </c>
      <c r="H53" s="122">
        <v>80</v>
      </c>
      <c r="I53" s="125">
        <v>26</v>
      </c>
      <c r="J53" s="125">
        <v>0</v>
      </c>
      <c r="K53" s="126">
        <f>H53/26*I53</f>
        <v>80</v>
      </c>
      <c r="L53" s="126">
        <v>0</v>
      </c>
      <c r="M53" s="126">
        <v>0</v>
      </c>
      <c r="N53" s="126">
        <v>0</v>
      </c>
      <c r="O53" s="126">
        <v>0</v>
      </c>
      <c r="P53" s="126">
        <f t="shared" si="1"/>
        <v>80</v>
      </c>
      <c r="Q53" s="126">
        <v>0</v>
      </c>
      <c r="R53" s="126">
        <v>0</v>
      </c>
      <c r="S53" s="126">
        <v>0</v>
      </c>
      <c r="T53" s="126">
        <v>0</v>
      </c>
      <c r="U53" s="127">
        <f>P53-Q53-R53-S53-T53</f>
        <v>80</v>
      </c>
      <c r="V53" s="127">
        <f t="shared" si="4"/>
        <v>80</v>
      </c>
      <c r="W53" s="127">
        <f t="shared" si="2"/>
        <v>0</v>
      </c>
      <c r="X53" s="132"/>
    </row>
    <row r="54" ht="45.65" customHeight="1" spans="1:24" x14ac:dyDescent="0.25">
      <c r="A54" s="121">
        <f t="shared" si="5"/>
        <v>49</v>
      </c>
      <c r="B54" s="122" t="s">
        <v>299</v>
      </c>
      <c r="C54" s="123" t="s">
        <v>300</v>
      </c>
      <c r="D54" s="124"/>
      <c r="E54" s="124"/>
      <c r="F54" s="124"/>
      <c r="G54" s="123"/>
      <c r="H54" s="122">
        <v>250</v>
      </c>
      <c r="I54" s="125">
        <v>26</v>
      </c>
      <c r="J54" s="125">
        <v>0</v>
      </c>
      <c r="K54" s="126">
        <f>H54/26*I54</f>
        <v>250</v>
      </c>
      <c r="L54" s="126">
        <v>0</v>
      </c>
      <c r="M54" s="126">
        <v>0</v>
      </c>
      <c r="N54" s="126">
        <v>0</v>
      </c>
      <c r="O54" s="126">
        <v>0</v>
      </c>
      <c r="P54" s="126">
        <f t="shared" si="1"/>
        <v>250</v>
      </c>
      <c r="Q54" s="126">
        <v>0</v>
      </c>
      <c r="R54" s="126">
        <v>0</v>
      </c>
      <c r="S54" s="126">
        <v>0</v>
      </c>
      <c r="T54" s="126">
        <v>0</v>
      </c>
      <c r="U54" s="127">
        <f t="shared" ref="U54:U61" si="6">P54-Q54-R54-S54-T54</f>
        <v>250</v>
      </c>
      <c r="V54" s="127">
        <f t="shared" si="4"/>
        <v>250</v>
      </c>
      <c r="W54" s="127">
        <f t="shared" si="2"/>
        <v>0</v>
      </c>
      <c r="X54" s="132"/>
    </row>
    <row r="55" ht="45.65" customHeight="1" spans="1:24" x14ac:dyDescent="0.25">
      <c r="A55" s="121">
        <f t="shared" si="5"/>
        <v>50</v>
      </c>
      <c r="B55" s="122" t="s">
        <v>237</v>
      </c>
      <c r="C55" s="155" t="s">
        <v>201</v>
      </c>
      <c r="D55" s="154"/>
      <c r="E55" s="154" t="s">
        <v>97</v>
      </c>
      <c r="F55" s="154" t="s">
        <v>98</v>
      </c>
      <c r="G55" s="155"/>
      <c r="H55" s="255">
        <v>434</v>
      </c>
      <c r="I55" s="125">
        <v>26</v>
      </c>
      <c r="J55" s="125">
        <v>0</v>
      </c>
      <c r="K55" s="126">
        <f t="shared" si="0"/>
        <v>434</v>
      </c>
      <c r="L55" s="126">
        <v>0</v>
      </c>
      <c r="M55" s="126">
        <v>0</v>
      </c>
      <c r="N55" s="126">
        <v>0</v>
      </c>
      <c r="O55" s="126">
        <v>0</v>
      </c>
      <c r="P55" s="126">
        <f t="shared" si="1"/>
        <v>434</v>
      </c>
      <c r="Q55" s="126">
        <v>0</v>
      </c>
      <c r="R55" s="126">
        <v>0</v>
      </c>
      <c r="S55" s="126">
        <v>0</v>
      </c>
      <c r="T55" s="152">
        <v>0</v>
      </c>
      <c r="U55" s="127">
        <f t="shared" si="6"/>
        <v>434</v>
      </c>
      <c r="V55" s="127">
        <v>600</v>
      </c>
      <c r="W55" s="127">
        <f t="shared" si="2"/>
        <v>166</v>
      </c>
      <c r="X55" s="132" t="s">
        <v>57</v>
      </c>
    </row>
    <row r="56" ht="45.65" customHeight="1" spans="1:24" x14ac:dyDescent="0.25">
      <c r="A56" s="121">
        <f t="shared" si="5"/>
        <v>51</v>
      </c>
      <c r="B56" s="122" t="s">
        <v>238</v>
      </c>
      <c r="C56" s="155" t="s">
        <v>202</v>
      </c>
      <c r="D56" s="154"/>
      <c r="E56" s="154" t="s">
        <v>97</v>
      </c>
      <c r="F56" s="154" t="s">
        <v>156</v>
      </c>
      <c r="G56" s="155" t="s">
        <v>301</v>
      </c>
      <c r="H56" s="156">
        <v>422.6</v>
      </c>
      <c r="I56" s="125">
        <v>26</v>
      </c>
      <c r="J56" s="125">
        <v>0</v>
      </c>
      <c r="K56" s="126">
        <f t="shared" si="0"/>
        <v>422.6</v>
      </c>
      <c r="L56" s="126">
        <v>0</v>
      </c>
      <c r="M56" s="126">
        <v>0</v>
      </c>
      <c r="N56" s="126">
        <v>0</v>
      </c>
      <c r="O56" s="126">
        <v>0</v>
      </c>
      <c r="P56" s="126">
        <f t="shared" si="1"/>
        <v>422.6</v>
      </c>
      <c r="Q56" s="126">
        <v>0</v>
      </c>
      <c r="R56" s="126">
        <v>0</v>
      </c>
      <c r="S56" s="126">
        <v>0</v>
      </c>
      <c r="T56" s="126">
        <v>0</v>
      </c>
      <c r="U56" s="127">
        <f t="shared" si="6"/>
        <v>422.6</v>
      </c>
      <c r="V56" s="127">
        <f t="shared" si="4"/>
        <v>422.6</v>
      </c>
      <c r="W56" s="127">
        <f t="shared" si="2"/>
        <v>0</v>
      </c>
      <c r="X56" s="132"/>
    </row>
    <row r="57" ht="45.65" customHeight="1" spans="1:24" x14ac:dyDescent="0.25">
      <c r="A57" s="121">
        <f t="shared" si="5"/>
        <v>52</v>
      </c>
      <c r="B57" s="122" t="s">
        <v>239</v>
      </c>
      <c r="C57" s="155" t="s">
        <v>170</v>
      </c>
      <c r="D57" s="261" t="s">
        <v>346</v>
      </c>
      <c r="E57" s="262"/>
      <c r="F57" s="262"/>
      <c r="G57" s="263"/>
      <c r="H57" s="157">
        <v>0</v>
      </c>
      <c r="I57" s="125">
        <v>26</v>
      </c>
      <c r="J57" s="125">
        <v>0</v>
      </c>
      <c r="K57" s="126">
        <f t="shared" si="0"/>
        <v>0</v>
      </c>
      <c r="L57" s="126">
        <v>0</v>
      </c>
      <c r="M57" s="126">
        <v>0</v>
      </c>
      <c r="N57" s="126">
        <v>0</v>
      </c>
      <c r="O57" s="126">
        <v>0</v>
      </c>
      <c r="P57" s="126">
        <f t="shared" si="1"/>
        <v>0</v>
      </c>
      <c r="Q57" s="126">
        <v>0</v>
      </c>
      <c r="R57" s="126">
        <v>0</v>
      </c>
      <c r="S57" s="126">
        <v>0</v>
      </c>
      <c r="T57" s="152">
        <v>0</v>
      </c>
      <c r="U57" s="127">
        <f t="shared" si="6"/>
        <v>0</v>
      </c>
      <c r="V57" s="127">
        <v>300</v>
      </c>
      <c r="W57" s="127">
        <f t="shared" si="2"/>
        <v>300</v>
      </c>
      <c r="X57" s="132" t="s">
        <v>57</v>
      </c>
    </row>
    <row r="58" ht="45.65" customHeight="1" spans="1:24" x14ac:dyDescent="0.25">
      <c r="A58" s="121">
        <f t="shared" si="5"/>
        <v>53</v>
      </c>
      <c r="B58" s="122" t="s">
        <v>240</v>
      </c>
      <c r="C58" s="155" t="s">
        <v>172</v>
      </c>
      <c r="D58" s="261" t="s">
        <v>346</v>
      </c>
      <c r="E58" s="262"/>
      <c r="F58" s="262"/>
      <c r="G58" s="263"/>
      <c r="H58" s="157">
        <v>0</v>
      </c>
      <c r="I58" s="125">
        <v>26</v>
      </c>
      <c r="J58" s="125">
        <v>0</v>
      </c>
      <c r="K58" s="126">
        <f t="shared" si="0"/>
        <v>0</v>
      </c>
      <c r="L58" s="126">
        <v>0</v>
      </c>
      <c r="M58" s="126">
        <v>0</v>
      </c>
      <c r="N58" s="126">
        <v>0</v>
      </c>
      <c r="O58" s="126">
        <v>0</v>
      </c>
      <c r="P58" s="126">
        <f t="shared" si="1"/>
        <v>0</v>
      </c>
      <c r="Q58" s="126">
        <v>0</v>
      </c>
      <c r="R58" s="126">
        <v>0</v>
      </c>
      <c r="S58" s="126">
        <v>0</v>
      </c>
      <c r="T58" s="152">
        <v>0</v>
      </c>
      <c r="U58" s="127">
        <f t="shared" si="6"/>
        <v>0</v>
      </c>
      <c r="V58" s="127">
        <v>600</v>
      </c>
      <c r="W58" s="127">
        <f t="shared" si="2"/>
        <v>600</v>
      </c>
      <c r="X58" s="131" t="s">
        <v>57</v>
      </c>
    </row>
    <row r="59" ht="45.65" customHeight="1" hidden="1" spans="1:24" x14ac:dyDescent="0.25">
      <c r="A59" s="121">
        <f t="shared" si="5"/>
        <v>54</v>
      </c>
      <c r="B59" s="122"/>
      <c r="C59" s="155"/>
      <c r="D59" s="154"/>
      <c r="E59" s="154"/>
      <c r="F59" s="154"/>
      <c r="G59" s="155"/>
      <c r="H59" s="157"/>
      <c r="I59" s="125">
        <v>26</v>
      </c>
      <c r="J59" s="125">
        <v>0</v>
      </c>
      <c r="K59" s="126">
        <f t="shared" si="0"/>
        <v>0</v>
      </c>
      <c r="L59" s="126">
        <v>0</v>
      </c>
      <c r="M59" s="126">
        <v>0</v>
      </c>
      <c r="N59" s="126">
        <v>0</v>
      </c>
      <c r="O59" s="126">
        <v>0</v>
      </c>
      <c r="P59" s="126">
        <f t="shared" si="1"/>
        <v>0</v>
      </c>
      <c r="Q59" s="126">
        <v>0</v>
      </c>
      <c r="R59" s="126">
        <v>0</v>
      </c>
      <c r="S59" s="126">
        <v>0</v>
      </c>
      <c r="T59" s="126">
        <v>0</v>
      </c>
      <c r="U59" s="127">
        <f t="shared" si="6"/>
        <v>0</v>
      </c>
      <c r="V59" s="127">
        <f t="shared" si="4"/>
        <v>0</v>
      </c>
      <c r="W59" s="127">
        <f t="shared" si="2"/>
        <v>0</v>
      </c>
      <c r="X59" s="128"/>
    </row>
    <row r="60" ht="45.65" customHeight="1" hidden="1" spans="1:24" x14ac:dyDescent="0.25">
      <c r="A60" s="121">
        <f t="shared" si="5"/>
        <v>55</v>
      </c>
      <c r="B60" s="122"/>
      <c r="C60" s="155"/>
      <c r="D60" s="154"/>
      <c r="E60" s="154"/>
      <c r="F60" s="154"/>
      <c r="G60" s="155"/>
      <c r="H60" s="157"/>
      <c r="I60" s="125">
        <v>26</v>
      </c>
      <c r="J60" s="125">
        <v>0</v>
      </c>
      <c r="K60" s="126">
        <f t="shared" si="0"/>
        <v>0</v>
      </c>
      <c r="L60" s="126">
        <v>0</v>
      </c>
      <c r="M60" s="126">
        <v>0</v>
      </c>
      <c r="N60" s="126">
        <v>0</v>
      </c>
      <c r="O60" s="126">
        <v>0</v>
      </c>
      <c r="P60" s="126">
        <f t="shared" si="1"/>
        <v>0</v>
      </c>
      <c r="Q60" s="126">
        <v>0</v>
      </c>
      <c r="R60" s="126">
        <v>0</v>
      </c>
      <c r="S60" s="126">
        <v>0</v>
      </c>
      <c r="T60" s="126">
        <v>0</v>
      </c>
      <c r="U60" s="127">
        <f t="shared" si="6"/>
        <v>0</v>
      </c>
      <c r="V60" s="127">
        <f t="shared" si="4"/>
        <v>0</v>
      </c>
      <c r="W60" s="127">
        <f t="shared" si="2"/>
        <v>0</v>
      </c>
      <c r="X60" s="128"/>
    </row>
    <row r="61" ht="45.65" customHeight="1" hidden="1" spans="1:24" x14ac:dyDescent="0.25">
      <c r="A61" s="121">
        <f t="shared" si="5"/>
        <v>56</v>
      </c>
      <c r="B61" s="122"/>
      <c r="C61" s="160"/>
      <c r="D61" s="161"/>
      <c r="E61" s="161"/>
      <c r="F61" s="161"/>
      <c r="G61" s="160"/>
      <c r="H61" s="162"/>
      <c r="I61" s="163">
        <v>26</v>
      </c>
      <c r="J61" s="125">
        <v>0</v>
      </c>
      <c r="K61" s="164">
        <f t="shared" si="0"/>
        <v>0</v>
      </c>
      <c r="L61" s="126">
        <v>0</v>
      </c>
      <c r="M61" s="164">
        <v>0</v>
      </c>
      <c r="N61" s="164">
        <v>0</v>
      </c>
      <c r="O61" s="164">
        <v>0</v>
      </c>
      <c r="P61" s="126">
        <f t="shared" si="1"/>
        <v>0</v>
      </c>
      <c r="Q61" s="164">
        <v>0</v>
      </c>
      <c r="R61" s="126">
        <v>0</v>
      </c>
      <c r="S61" s="164">
        <v>0</v>
      </c>
      <c r="T61" s="164">
        <v>0</v>
      </c>
      <c r="U61" s="127">
        <f t="shared" si="6"/>
        <v>0</v>
      </c>
      <c r="V61" s="127">
        <f t="shared" si="4"/>
        <v>0</v>
      </c>
      <c r="W61" s="127">
        <f t="shared" si="2"/>
        <v>0</v>
      </c>
      <c r="X61" s="166"/>
    </row>
    <row r="62" ht="50.15" customHeight="1" spans="1:24" x14ac:dyDescent="0.25">
      <c r="A62" s="184" t="s">
        <v>26</v>
      </c>
      <c r="B62" s="185"/>
      <c r="C62" s="185"/>
      <c r="D62" s="185"/>
      <c r="E62" s="185"/>
      <c r="F62" s="185"/>
      <c r="G62" s="185"/>
      <c r="H62" s="146">
        <f>SUBTOTAL(9,H6:H61)</f>
        <v>13381.6</v>
      </c>
      <c r="I62" s="185"/>
      <c r="J62" s="186"/>
      <c r="K62" s="146">
        <f t="shared" ref="K62:W62" si="7">SUBTOTAL(9,K6:K61)</f>
        <v>13381.6</v>
      </c>
      <c r="L62" s="146">
        <f t="shared" si="7"/>
        <v>0</v>
      </c>
      <c r="M62" s="146">
        <f t="shared" si="7"/>
        <v>71.53999999999999</v>
      </c>
      <c r="N62" s="146">
        <f t="shared" si="7"/>
        <v>0</v>
      </c>
      <c r="O62" s="146">
        <f t="shared" si="7"/>
        <v>300</v>
      </c>
      <c r="P62" s="146">
        <f t="shared" si="7"/>
        <v>13753.140000000001</v>
      </c>
      <c r="Q62" s="146">
        <f t="shared" si="7"/>
        <v>0</v>
      </c>
      <c r="R62" s="146">
        <f t="shared" si="7"/>
        <v>184.62</v>
      </c>
      <c r="S62" s="146">
        <f t="shared" si="7"/>
        <v>150</v>
      </c>
      <c r="T62" s="167">
        <f t="shared" si="7"/>
        <v>0</v>
      </c>
      <c r="U62" s="147">
        <f t="shared" si="7"/>
        <v>13418.52</v>
      </c>
      <c r="V62" s="147">
        <f t="shared" si="7"/>
        <v>15424.52</v>
      </c>
      <c r="W62" s="147">
        <f t="shared" si="7"/>
        <v>2006</v>
      </c>
      <c r="X62" s="146"/>
    </row>
    <row r="64" ht="20.6" customHeight="1" spans="3:22" s="245" customFormat="1" x14ac:dyDescent="0.25">
      <c r="C64" s="245" t="s">
        <v>311</v>
      </c>
      <c r="K64" s="245" t="s">
        <v>312</v>
      </c>
      <c r="V64" s="245" t="s">
        <v>313</v>
      </c>
    </row>
    <row r="66" spans="16:19" x14ac:dyDescent="0.25">
      <c r="P66" s="148"/>
      <c r="S66" s="148"/>
    </row>
  </sheetData>
  <autoFilter ref="A5:X61"/>
  <mergeCells count="21">
    <mergeCell ref="A1:X1"/>
    <mergeCell ref="A2:X2"/>
    <mergeCell ref="A3:X3"/>
    <mergeCell ref="K4:P4"/>
    <mergeCell ref="Q4:T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U4:U5"/>
    <mergeCell ref="V4:V5"/>
    <mergeCell ref="W4:W5"/>
    <mergeCell ref="X4:X5"/>
    <mergeCell ref="D57:G57"/>
    <mergeCell ref="D58:G58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31" fitToWidth="1" fitToHeight="0" firstPageNumber="1" useFirstPageNumber="1" copies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6"/>
  <sheetViews>
    <sheetView workbookViewId="0" zoomScale="70" zoomScaleNormal="70">
      <pane xSplit="3" ySplit="5" topLeftCell="D6" activePane="bottomRight" state="frozen"/>
      <selection pane="bottomRight" activeCell="K7" sqref="K7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4" width="15.3828125" customWidth="1"/>
    <col min="5" max="5" width="19.15234375" customWidth="1"/>
    <col min="6" max="6" width="15.3828125" customWidth="1"/>
    <col min="7" max="7" width="16" hidden="1" customWidth="1"/>
    <col min="8" max="8" width="18.3828125" customWidth="1"/>
    <col min="9" max="9" width="12" customWidth="1"/>
    <col min="10" max="10" width="10.84375" customWidth="1"/>
    <col min="11" max="11" width="21.3046875" customWidth="1"/>
    <col min="12" max="12" width="17.15234375" customWidth="1"/>
    <col min="13" max="13" width="14.53515625" customWidth="1"/>
    <col min="14" max="14" width="14" customWidth="1"/>
    <col min="15" max="15" width="14.3046875" customWidth="1"/>
    <col min="16" max="16" width="16.69140625" customWidth="1"/>
    <col min="17" max="17" width="17.3046875" customWidth="1"/>
    <col min="18" max="18" width="14.3828125" customWidth="1"/>
    <col min="19" max="19" width="15.3046875" customWidth="1"/>
    <col min="20" max="20" width="14.69140625" customWidth="1"/>
    <col min="21" max="24" width="21.15234375" customWidth="1"/>
    <col min="25" max="25" width="36.3046875" customWidth="1"/>
  </cols>
  <sheetData>
    <row r="1" ht="51.65" customHeight="1" spans="1:25" x14ac:dyDescent="0.25">
      <c r="A1" s="246" t="s">
        <v>302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</row>
    <row r="2" ht="53.15" customHeight="1" spans="1:25" x14ac:dyDescent="0.25">
      <c r="A2" s="18" t="s">
        <v>314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45.65" customHeight="1" spans="1:25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30" customHeight="1" spans="1:25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248" t="s">
        <v>315</v>
      </c>
      <c r="F4" s="248" t="s">
        <v>316</v>
      </c>
      <c r="G4" s="117" t="s">
        <v>8</v>
      </c>
      <c r="H4" s="117" t="s">
        <v>9</v>
      </c>
      <c r="I4" s="117" t="s">
        <v>10</v>
      </c>
      <c r="J4" s="117" t="s">
        <v>304</v>
      </c>
      <c r="K4" s="119" t="s">
        <v>12</v>
      </c>
      <c r="L4" s="119"/>
      <c r="M4" s="119"/>
      <c r="N4" s="119"/>
      <c r="O4" s="119"/>
      <c r="P4" s="119"/>
      <c r="Q4" s="119" t="s">
        <v>13</v>
      </c>
      <c r="R4" s="119"/>
      <c r="S4" s="119"/>
      <c r="T4" s="119"/>
      <c r="U4" s="117" t="s">
        <v>14</v>
      </c>
      <c r="V4" s="249" t="s">
        <v>306</v>
      </c>
      <c r="W4" s="250"/>
      <c r="X4" s="120" t="s">
        <v>307</v>
      </c>
      <c r="Y4" s="117" t="s">
        <v>15</v>
      </c>
    </row>
    <row r="5" ht="88.5" customHeight="1" spans="1:25" s="115" customFormat="1" x14ac:dyDescent="0.25">
      <c r="A5" s="116"/>
      <c r="B5" s="117"/>
      <c r="C5" s="117"/>
      <c r="D5" s="118"/>
      <c r="E5" s="251"/>
      <c r="F5" s="251"/>
      <c r="G5" s="116"/>
      <c r="H5" s="117"/>
      <c r="I5" s="117"/>
      <c r="J5" s="117"/>
      <c r="K5" s="120" t="s">
        <v>16</v>
      </c>
      <c r="L5" s="120" t="s">
        <v>17</v>
      </c>
      <c r="M5" s="120" t="s">
        <v>18</v>
      </c>
      <c r="N5" s="120" t="s">
        <v>31</v>
      </c>
      <c r="O5" s="120" t="s">
        <v>21</v>
      </c>
      <c r="P5" s="120" t="s">
        <v>22</v>
      </c>
      <c r="Q5" s="120" t="s">
        <v>23</v>
      </c>
      <c r="R5" s="120" t="s">
        <v>24</v>
      </c>
      <c r="S5" s="120" t="s">
        <v>25</v>
      </c>
      <c r="T5" s="218" t="s">
        <v>21</v>
      </c>
      <c r="U5" s="117"/>
      <c r="V5" s="252" t="s">
        <v>317</v>
      </c>
      <c r="W5" s="220" t="s">
        <v>318</v>
      </c>
      <c r="X5" s="220"/>
      <c r="Y5" s="117"/>
    </row>
    <row r="6" ht="45.65" customHeight="1" spans="1:25" x14ac:dyDescent="0.25">
      <c r="A6" s="121">
        <v>1</v>
      </c>
      <c r="B6" s="122" t="s">
        <v>206</v>
      </c>
      <c r="C6" s="130" t="s">
        <v>182</v>
      </c>
      <c r="D6" s="124"/>
      <c r="E6" s="124" t="s">
        <v>319</v>
      </c>
      <c r="F6" s="124" t="s">
        <v>320</v>
      </c>
      <c r="G6" s="130" t="s">
        <v>102</v>
      </c>
      <c r="H6" s="129">
        <v>410</v>
      </c>
      <c r="I6" s="125">
        <v>26</v>
      </c>
      <c r="J6" s="125">
        <v>0</v>
      </c>
      <c r="K6" s="126">
        <f>H6/26*I6</f>
        <v>410</v>
      </c>
      <c r="L6" s="126">
        <f>H6/26*J6</f>
        <v>0</v>
      </c>
      <c r="M6" s="126">
        <v>0</v>
      </c>
      <c r="N6" s="126">
        <v>0</v>
      </c>
      <c r="O6" s="126">
        <v>0</v>
      </c>
      <c r="P6" s="126">
        <f>K6+L6+M6+N6+O6</f>
        <v>410</v>
      </c>
      <c r="Q6" s="126">
        <v>0</v>
      </c>
      <c r="R6" s="126">
        <v>0</v>
      </c>
      <c r="S6" s="126">
        <v>0</v>
      </c>
      <c r="T6" s="151">
        <v>0</v>
      </c>
      <c r="U6" s="127">
        <f>P6-Q6-R6-S6-T6</f>
        <v>410</v>
      </c>
      <c r="V6" s="127">
        <v>800</v>
      </c>
      <c r="W6" s="127"/>
      <c r="X6" s="127">
        <f>V6-U6</f>
        <v>390</v>
      </c>
      <c r="Y6" s="131" t="s">
        <v>57</v>
      </c>
    </row>
    <row r="7" ht="45.65" customHeight="1" spans="1:25" x14ac:dyDescent="0.25">
      <c r="A7" s="121">
        <v>2</v>
      </c>
      <c r="B7" s="122" t="s">
        <v>257</v>
      </c>
      <c r="C7" s="123" t="s">
        <v>242</v>
      </c>
      <c r="D7" s="124"/>
      <c r="E7" s="124" t="s">
        <v>321</v>
      </c>
      <c r="F7" s="124" t="s">
        <v>322</v>
      </c>
      <c r="G7" s="123"/>
      <c r="H7" s="122">
        <v>150</v>
      </c>
      <c r="I7" s="125">
        <v>26</v>
      </c>
      <c r="J7" s="125">
        <v>0</v>
      </c>
      <c r="K7" s="126">
        <f t="shared" ref="K7:K60" si="0">H7/26*I7</f>
        <v>150</v>
      </c>
      <c r="L7" s="126">
        <f t="shared" ref="L7:L57" si="1">H7/26*J7</f>
        <v>0</v>
      </c>
      <c r="M7" s="126">
        <v>0</v>
      </c>
      <c r="N7" s="126">
        <v>0</v>
      </c>
      <c r="O7" s="126">
        <v>0</v>
      </c>
      <c r="P7" s="126">
        <f t="shared" ref="P7:P60" si="2">K7+L7+M7+N7+O7</f>
        <v>150</v>
      </c>
      <c r="Q7" s="126">
        <v>0</v>
      </c>
      <c r="R7" s="126">
        <v>0</v>
      </c>
      <c r="S7" s="126">
        <v>0</v>
      </c>
      <c r="T7" s="151">
        <v>0</v>
      </c>
      <c r="U7" s="127">
        <f t="shared" ref="U7:U60" si="3">P7-Q7-R7-S7-T7</f>
        <v>150</v>
      </c>
      <c r="V7" s="127">
        <f>U7</f>
        <v>150</v>
      </c>
      <c r="W7" s="127"/>
      <c r="X7" s="127">
        <f t="shared" ref="X7:X60" si="4">V7-U7</f>
        <v>0</v>
      </c>
      <c r="Y7" s="128"/>
    </row>
    <row r="8" ht="45.65" customHeight="1" spans="1:25" x14ac:dyDescent="0.25">
      <c r="A8" s="121">
        <v>3</v>
      </c>
      <c r="B8" s="122" t="s">
        <v>258</v>
      </c>
      <c r="C8" s="123" t="s">
        <v>244</v>
      </c>
      <c r="D8" s="124"/>
      <c r="E8" s="124" t="s">
        <v>321</v>
      </c>
      <c r="F8" s="124" t="s">
        <v>323</v>
      </c>
      <c r="G8" s="123" t="s">
        <v>104</v>
      </c>
      <c r="H8" s="122">
        <v>255</v>
      </c>
      <c r="I8" s="125">
        <v>26</v>
      </c>
      <c r="J8" s="125">
        <v>0</v>
      </c>
      <c r="K8" s="126">
        <f t="shared" si="0"/>
        <v>255.00000000000003</v>
      </c>
      <c r="L8" s="126">
        <f t="shared" si="1"/>
        <v>0</v>
      </c>
      <c r="M8" s="126">
        <v>0</v>
      </c>
      <c r="N8" s="126">
        <v>0</v>
      </c>
      <c r="O8" s="126">
        <v>0</v>
      </c>
      <c r="P8" s="126">
        <f t="shared" si="2"/>
        <v>255.00000000000003</v>
      </c>
      <c r="Q8" s="126">
        <v>0</v>
      </c>
      <c r="R8" s="126">
        <v>0</v>
      </c>
      <c r="S8" s="126">
        <v>0</v>
      </c>
      <c r="T8" s="151">
        <v>0</v>
      </c>
      <c r="U8" s="127">
        <f t="shared" si="3"/>
        <v>255.00000000000003</v>
      </c>
      <c r="V8" s="127">
        <f t="shared" ref="V8:V32" si="5">U8</f>
        <v>255.00000000000003</v>
      </c>
      <c r="W8" s="127"/>
      <c r="X8" s="127">
        <f t="shared" si="4"/>
        <v>0</v>
      </c>
      <c r="Y8" s="132"/>
    </row>
    <row r="9" ht="45.65" customHeight="1" spans="1:25" x14ac:dyDescent="0.25">
      <c r="A9" s="121">
        <v>4</v>
      </c>
      <c r="B9" s="122" t="s">
        <v>259</v>
      </c>
      <c r="C9" s="123" t="s">
        <v>245</v>
      </c>
      <c r="D9" s="124"/>
      <c r="E9" s="124" t="s">
        <v>321</v>
      </c>
      <c r="F9" s="124" t="s">
        <v>324</v>
      </c>
      <c r="G9" s="123" t="s">
        <v>107</v>
      </c>
      <c r="H9" s="122">
        <v>150</v>
      </c>
      <c r="I9" s="125">
        <v>26</v>
      </c>
      <c r="J9" s="125">
        <v>0</v>
      </c>
      <c r="K9" s="126">
        <f t="shared" si="0"/>
        <v>150</v>
      </c>
      <c r="L9" s="126">
        <f t="shared" si="1"/>
        <v>0</v>
      </c>
      <c r="M9" s="126">
        <v>0</v>
      </c>
      <c r="N9" s="126">
        <v>0</v>
      </c>
      <c r="O9" s="126">
        <v>0</v>
      </c>
      <c r="P9" s="126">
        <f t="shared" si="2"/>
        <v>150</v>
      </c>
      <c r="Q9" s="126">
        <v>0</v>
      </c>
      <c r="R9" s="126">
        <v>0</v>
      </c>
      <c r="S9" s="126">
        <v>0</v>
      </c>
      <c r="T9" s="151">
        <v>0</v>
      </c>
      <c r="U9" s="127">
        <f t="shared" si="3"/>
        <v>150</v>
      </c>
      <c r="V9" s="127">
        <f t="shared" si="5"/>
        <v>150</v>
      </c>
      <c r="W9" s="127"/>
      <c r="X9" s="127">
        <f t="shared" si="4"/>
        <v>0</v>
      </c>
      <c r="Y9" s="132"/>
    </row>
    <row r="10" ht="45.65" customHeight="1" spans="1:25" x14ac:dyDescent="0.25">
      <c r="A10" s="121">
        <v>5</v>
      </c>
      <c r="B10" s="122" t="s">
        <v>260</v>
      </c>
      <c r="C10" s="123" t="s">
        <v>108</v>
      </c>
      <c r="D10" s="124"/>
      <c r="E10" s="124" t="s">
        <v>325</v>
      </c>
      <c r="F10" s="124" t="s">
        <v>326</v>
      </c>
      <c r="G10" s="123"/>
      <c r="H10" s="122">
        <v>430</v>
      </c>
      <c r="I10" s="125">
        <v>26</v>
      </c>
      <c r="J10" s="125">
        <v>0</v>
      </c>
      <c r="K10" s="126">
        <f t="shared" si="0"/>
        <v>430.00000000000006</v>
      </c>
      <c r="L10" s="126">
        <f t="shared" si="1"/>
        <v>0</v>
      </c>
      <c r="M10" s="126">
        <v>0</v>
      </c>
      <c r="N10" s="126">
        <v>0</v>
      </c>
      <c r="O10" s="126">
        <v>0</v>
      </c>
      <c r="P10" s="126">
        <f t="shared" si="2"/>
        <v>430.00000000000006</v>
      </c>
      <c r="Q10" s="126">
        <v>0</v>
      </c>
      <c r="R10" s="126">
        <v>0</v>
      </c>
      <c r="S10" s="126">
        <v>0</v>
      </c>
      <c r="T10" s="151">
        <v>0</v>
      </c>
      <c r="U10" s="127">
        <f t="shared" si="3"/>
        <v>430.00000000000006</v>
      </c>
      <c r="V10" s="127">
        <f t="shared" si="5"/>
        <v>430.00000000000006</v>
      </c>
      <c r="W10" s="127"/>
      <c r="X10" s="127">
        <f t="shared" si="4"/>
        <v>0</v>
      </c>
      <c r="Y10" s="132"/>
    </row>
    <row r="11" ht="45.65" customHeight="1" spans="1:25" x14ac:dyDescent="0.25">
      <c r="A11" s="121">
        <v>6</v>
      </c>
      <c r="B11" s="122" t="s">
        <v>208</v>
      </c>
      <c r="C11" s="123" t="s">
        <v>184</v>
      </c>
      <c r="D11" s="124"/>
      <c r="E11" s="124" t="s">
        <v>327</v>
      </c>
      <c r="F11" s="124" t="s">
        <v>328</v>
      </c>
      <c r="G11" s="123" t="s">
        <v>54</v>
      </c>
      <c r="H11" s="122">
        <v>240</v>
      </c>
      <c r="I11" s="125">
        <v>26</v>
      </c>
      <c r="J11" s="125">
        <v>0</v>
      </c>
      <c r="K11" s="126">
        <f t="shared" si="0"/>
        <v>239.99999999999997</v>
      </c>
      <c r="L11" s="126">
        <f t="shared" si="1"/>
        <v>0</v>
      </c>
      <c r="M11" s="126">
        <v>0</v>
      </c>
      <c r="N11" s="126">
        <v>0</v>
      </c>
      <c r="O11" s="126">
        <v>0</v>
      </c>
      <c r="P11" s="126">
        <f t="shared" si="2"/>
        <v>239.99999999999997</v>
      </c>
      <c r="Q11" s="126">
        <v>0</v>
      </c>
      <c r="R11" s="126">
        <v>0</v>
      </c>
      <c r="S11" s="126">
        <v>50</v>
      </c>
      <c r="T11" s="151">
        <v>0</v>
      </c>
      <c r="U11" s="127">
        <f t="shared" si="3"/>
        <v>189.99999999999997</v>
      </c>
      <c r="V11" s="127">
        <f t="shared" si="5"/>
        <v>189.99999999999997</v>
      </c>
      <c r="W11" s="127"/>
      <c r="X11" s="127">
        <f t="shared" si="4"/>
        <v>0</v>
      </c>
      <c r="Y11" s="132"/>
    </row>
    <row r="12" ht="45.65" customHeight="1" spans="1:25" x14ac:dyDescent="0.25">
      <c r="A12" s="121">
        <v>7</v>
      </c>
      <c r="B12" s="122" t="s">
        <v>209</v>
      </c>
      <c r="C12" s="123" t="s">
        <v>112</v>
      </c>
      <c r="D12" s="124"/>
      <c r="E12" s="124" t="s">
        <v>321</v>
      </c>
      <c r="F12" s="124" t="s">
        <v>329</v>
      </c>
      <c r="G12" s="123" t="s">
        <v>113</v>
      </c>
      <c r="H12" s="122">
        <v>330</v>
      </c>
      <c r="I12" s="125">
        <v>26</v>
      </c>
      <c r="J12" s="125">
        <v>0</v>
      </c>
      <c r="K12" s="126">
        <f t="shared" si="0"/>
        <v>330</v>
      </c>
      <c r="L12" s="126">
        <f t="shared" si="1"/>
        <v>0</v>
      </c>
      <c r="M12" s="126">
        <v>30</v>
      </c>
      <c r="N12" s="126">
        <v>0</v>
      </c>
      <c r="O12" s="126">
        <v>0</v>
      </c>
      <c r="P12" s="126">
        <f t="shared" si="2"/>
        <v>360</v>
      </c>
      <c r="Q12" s="126">
        <v>0</v>
      </c>
      <c r="R12" s="126">
        <v>0</v>
      </c>
      <c r="S12" s="126">
        <v>0</v>
      </c>
      <c r="T12" s="151">
        <v>0</v>
      </c>
      <c r="U12" s="127">
        <f t="shared" si="3"/>
        <v>360</v>
      </c>
      <c r="V12" s="127">
        <f t="shared" si="5"/>
        <v>360</v>
      </c>
      <c r="W12" s="127"/>
      <c r="X12" s="127">
        <f t="shared" si="4"/>
        <v>0</v>
      </c>
      <c r="Y12" s="132"/>
    </row>
    <row r="13" ht="45.65" customHeight="1" spans="1:25" x14ac:dyDescent="0.25">
      <c r="A13" s="121">
        <v>8</v>
      </c>
      <c r="B13" s="122" t="s">
        <v>210</v>
      </c>
      <c r="C13" s="123" t="s">
        <v>117</v>
      </c>
      <c r="D13" s="124"/>
      <c r="E13" s="124" t="s">
        <v>330</v>
      </c>
      <c r="F13" s="124" t="s">
        <v>331</v>
      </c>
      <c r="G13" s="123" t="s">
        <v>118</v>
      </c>
      <c r="H13" s="122">
        <v>200</v>
      </c>
      <c r="I13" s="125">
        <v>26</v>
      </c>
      <c r="J13" s="125">
        <v>0</v>
      </c>
      <c r="K13" s="126">
        <f t="shared" si="0"/>
        <v>200</v>
      </c>
      <c r="L13" s="126">
        <f t="shared" si="1"/>
        <v>0</v>
      </c>
      <c r="M13" s="126">
        <v>0</v>
      </c>
      <c r="N13" s="126">
        <v>0</v>
      </c>
      <c r="O13" s="126">
        <v>0</v>
      </c>
      <c r="P13" s="126">
        <f t="shared" si="2"/>
        <v>200</v>
      </c>
      <c r="Q13" s="126">
        <v>0</v>
      </c>
      <c r="R13" s="126">
        <v>0</v>
      </c>
      <c r="S13" s="126">
        <v>0</v>
      </c>
      <c r="T13" s="151">
        <v>0</v>
      </c>
      <c r="U13" s="127">
        <f t="shared" si="3"/>
        <v>200</v>
      </c>
      <c r="V13" s="127">
        <f t="shared" si="5"/>
        <v>200</v>
      </c>
      <c r="W13" s="127"/>
      <c r="X13" s="127">
        <f t="shared" si="4"/>
        <v>0</v>
      </c>
      <c r="Y13" s="132"/>
    </row>
    <row r="14" ht="45.65" customHeight="1" spans="1:25" x14ac:dyDescent="0.25">
      <c r="A14" s="121">
        <v>9</v>
      </c>
      <c r="B14" s="122" t="s">
        <v>211</v>
      </c>
      <c r="C14" s="123" t="s">
        <v>185</v>
      </c>
      <c r="D14" s="124"/>
      <c r="E14" s="124" t="s">
        <v>327</v>
      </c>
      <c r="F14" s="124" t="s">
        <v>332</v>
      </c>
      <c r="G14" s="123" t="s">
        <v>121</v>
      </c>
      <c r="H14" s="122">
        <v>430</v>
      </c>
      <c r="I14" s="125">
        <v>26</v>
      </c>
      <c r="J14" s="125">
        <v>0</v>
      </c>
      <c r="K14" s="126">
        <f t="shared" si="0"/>
        <v>430.00000000000006</v>
      </c>
      <c r="L14" s="126">
        <f t="shared" si="1"/>
        <v>0</v>
      </c>
      <c r="M14" s="126">
        <v>0</v>
      </c>
      <c r="N14" s="126">
        <v>0</v>
      </c>
      <c r="O14" s="126">
        <v>0</v>
      </c>
      <c r="P14" s="126">
        <f t="shared" si="2"/>
        <v>430.00000000000006</v>
      </c>
      <c r="Q14" s="126">
        <v>0</v>
      </c>
      <c r="R14" s="126">
        <v>0</v>
      </c>
      <c r="S14" s="126">
        <v>0</v>
      </c>
      <c r="T14" s="151">
        <v>0</v>
      </c>
      <c r="U14" s="127">
        <f t="shared" si="3"/>
        <v>430.00000000000006</v>
      </c>
      <c r="V14" s="127">
        <f t="shared" si="5"/>
        <v>430.00000000000006</v>
      </c>
      <c r="W14" s="127"/>
      <c r="X14" s="127">
        <f t="shared" si="4"/>
        <v>0</v>
      </c>
      <c r="Y14" s="132"/>
    </row>
    <row r="15" ht="45.65" customHeight="1" spans="1:25" x14ac:dyDescent="0.25">
      <c r="A15" s="121">
        <v>10</v>
      </c>
      <c r="B15" s="122" t="s">
        <v>212</v>
      </c>
      <c r="C15" s="123" t="s">
        <v>213</v>
      </c>
      <c r="D15" s="124"/>
      <c r="E15" s="124" t="s">
        <v>321</v>
      </c>
      <c r="F15" s="124" t="s">
        <v>333</v>
      </c>
      <c r="G15" s="123" t="s">
        <v>123</v>
      </c>
      <c r="H15" s="122">
        <v>450</v>
      </c>
      <c r="I15" s="125">
        <v>26</v>
      </c>
      <c r="J15" s="125">
        <v>0</v>
      </c>
      <c r="K15" s="126">
        <f t="shared" si="0"/>
        <v>450</v>
      </c>
      <c r="L15" s="126">
        <f t="shared" si="1"/>
        <v>0</v>
      </c>
      <c r="M15" s="126">
        <v>0</v>
      </c>
      <c r="N15" s="126">
        <v>0</v>
      </c>
      <c r="O15" s="126">
        <v>0</v>
      </c>
      <c r="P15" s="126">
        <f t="shared" si="2"/>
        <v>450</v>
      </c>
      <c r="Q15" s="126">
        <v>0</v>
      </c>
      <c r="R15" s="126">
        <v>0</v>
      </c>
      <c r="S15" s="126">
        <v>50</v>
      </c>
      <c r="T15" s="151">
        <v>0</v>
      </c>
      <c r="U15" s="127">
        <f t="shared" si="3"/>
        <v>400</v>
      </c>
      <c r="V15" s="127">
        <f t="shared" si="5"/>
        <v>400</v>
      </c>
      <c r="W15" s="127"/>
      <c r="X15" s="127">
        <f t="shared" si="4"/>
        <v>0</v>
      </c>
      <c r="Y15" s="132"/>
    </row>
    <row r="16" ht="45.65" customHeight="1" spans="1:25" x14ac:dyDescent="0.25">
      <c r="A16" s="121">
        <v>11</v>
      </c>
      <c r="B16" s="122" t="s">
        <v>214</v>
      </c>
      <c r="C16" s="123" t="s">
        <v>186</v>
      </c>
      <c r="D16" s="124"/>
      <c r="E16" s="124" t="s">
        <v>321</v>
      </c>
      <c r="F16" s="124" t="s">
        <v>333</v>
      </c>
      <c r="G16" s="123" t="s">
        <v>125</v>
      </c>
      <c r="H16" s="122">
        <v>300</v>
      </c>
      <c r="I16" s="125">
        <v>26</v>
      </c>
      <c r="J16" s="125">
        <v>0</v>
      </c>
      <c r="K16" s="126">
        <f t="shared" si="0"/>
        <v>300</v>
      </c>
      <c r="L16" s="126">
        <f t="shared" si="1"/>
        <v>0</v>
      </c>
      <c r="M16" s="126">
        <v>0</v>
      </c>
      <c r="N16" s="126">
        <v>0</v>
      </c>
      <c r="O16" s="150">
        <v>300</v>
      </c>
      <c r="P16" s="126">
        <f t="shared" si="2"/>
        <v>600</v>
      </c>
      <c r="Q16" s="126">
        <v>0</v>
      </c>
      <c r="R16" s="126">
        <v>0</v>
      </c>
      <c r="S16" s="126">
        <v>0</v>
      </c>
      <c r="T16" s="151">
        <v>0</v>
      </c>
      <c r="U16" s="127">
        <f t="shared" si="3"/>
        <v>600</v>
      </c>
      <c r="V16" s="127">
        <f t="shared" si="5"/>
        <v>600</v>
      </c>
      <c r="W16" s="127"/>
      <c r="X16" s="127">
        <f t="shared" si="4"/>
        <v>0</v>
      </c>
      <c r="Y16" s="132"/>
    </row>
    <row r="17" ht="45.65" customHeight="1" spans="1:25" x14ac:dyDescent="0.25">
      <c r="A17" s="121">
        <v>12</v>
      </c>
      <c r="B17" s="122" t="s">
        <v>215</v>
      </c>
      <c r="C17" s="123" t="s">
        <v>126</v>
      </c>
      <c r="D17" s="124"/>
      <c r="E17" s="124" t="s">
        <v>334</v>
      </c>
      <c r="F17" s="124" t="s">
        <v>333</v>
      </c>
      <c r="G17" s="123" t="s">
        <v>127</v>
      </c>
      <c r="H17" s="122">
        <v>300</v>
      </c>
      <c r="I17" s="125">
        <v>26</v>
      </c>
      <c r="J17" s="125">
        <v>0</v>
      </c>
      <c r="K17" s="126">
        <f t="shared" si="0"/>
        <v>300</v>
      </c>
      <c r="L17" s="126">
        <f t="shared" si="1"/>
        <v>0</v>
      </c>
      <c r="M17" s="126">
        <v>0</v>
      </c>
      <c r="N17" s="126">
        <v>0</v>
      </c>
      <c r="O17" s="126">
        <v>0</v>
      </c>
      <c r="P17" s="126">
        <f t="shared" si="2"/>
        <v>300</v>
      </c>
      <c r="Q17" s="126">
        <v>0</v>
      </c>
      <c r="R17" s="126">
        <v>0</v>
      </c>
      <c r="S17" s="126">
        <v>0</v>
      </c>
      <c r="T17" s="151">
        <v>0</v>
      </c>
      <c r="U17" s="127">
        <f t="shared" si="3"/>
        <v>300</v>
      </c>
      <c r="V17" s="127">
        <f t="shared" si="5"/>
        <v>300</v>
      </c>
      <c r="W17" s="127"/>
      <c r="X17" s="127">
        <f t="shared" si="4"/>
        <v>0</v>
      </c>
      <c r="Y17" s="132"/>
    </row>
    <row r="18" ht="45.65" customHeight="1" spans="1:25" x14ac:dyDescent="0.25">
      <c r="A18" s="121">
        <v>13</v>
      </c>
      <c r="B18" s="122" t="s">
        <v>216</v>
      </c>
      <c r="C18" s="123" t="s">
        <v>188</v>
      </c>
      <c r="D18" s="124"/>
      <c r="E18" s="124" t="s">
        <v>334</v>
      </c>
      <c r="F18" s="124" t="s">
        <v>335</v>
      </c>
      <c r="G18" s="123"/>
      <c r="H18" s="122">
        <v>250</v>
      </c>
      <c r="I18" s="125">
        <v>26</v>
      </c>
      <c r="J18" s="125">
        <v>0</v>
      </c>
      <c r="K18" s="126">
        <f t="shared" si="0"/>
        <v>250</v>
      </c>
      <c r="L18" s="126">
        <f t="shared" si="1"/>
        <v>0</v>
      </c>
      <c r="M18" s="126">
        <v>0</v>
      </c>
      <c r="N18" s="126">
        <v>0</v>
      </c>
      <c r="O18" s="126">
        <v>0</v>
      </c>
      <c r="P18" s="126">
        <f t="shared" si="2"/>
        <v>250</v>
      </c>
      <c r="Q18" s="126">
        <v>0</v>
      </c>
      <c r="R18" s="126">
        <v>0</v>
      </c>
      <c r="S18" s="126">
        <v>0</v>
      </c>
      <c r="T18" s="151">
        <v>0</v>
      </c>
      <c r="U18" s="127">
        <f t="shared" si="3"/>
        <v>250</v>
      </c>
      <c r="V18" s="127">
        <f t="shared" si="5"/>
        <v>250</v>
      </c>
      <c r="W18" s="127"/>
      <c r="X18" s="127">
        <f t="shared" si="4"/>
        <v>0</v>
      </c>
      <c r="Y18" s="132"/>
    </row>
    <row r="19" ht="45.65" customHeight="1" spans="1:25" x14ac:dyDescent="0.25">
      <c r="A19" s="121">
        <v>14</v>
      </c>
      <c r="B19" s="122" t="s">
        <v>262</v>
      </c>
      <c r="C19" s="123" t="s">
        <v>130</v>
      </c>
      <c r="D19" s="124"/>
      <c r="E19" s="124" t="s">
        <v>336</v>
      </c>
      <c r="F19" s="124" t="s">
        <v>337</v>
      </c>
      <c r="G19" s="123"/>
      <c r="H19" s="122">
        <v>100</v>
      </c>
      <c r="I19" s="125">
        <v>26</v>
      </c>
      <c r="J19" s="125">
        <v>0</v>
      </c>
      <c r="K19" s="126">
        <f t="shared" si="0"/>
        <v>100</v>
      </c>
      <c r="L19" s="126">
        <f t="shared" si="1"/>
        <v>0</v>
      </c>
      <c r="M19" s="126">
        <v>0</v>
      </c>
      <c r="N19" s="126">
        <v>0</v>
      </c>
      <c r="O19" s="126">
        <v>0</v>
      </c>
      <c r="P19" s="126">
        <f t="shared" si="2"/>
        <v>100</v>
      </c>
      <c r="Q19" s="126">
        <v>0</v>
      </c>
      <c r="R19" s="126">
        <v>0</v>
      </c>
      <c r="S19" s="126">
        <v>0</v>
      </c>
      <c r="T19" s="151">
        <v>0</v>
      </c>
      <c r="U19" s="127">
        <f t="shared" si="3"/>
        <v>100</v>
      </c>
      <c r="V19" s="127">
        <v>0</v>
      </c>
      <c r="W19" s="127">
        <f>U19</f>
        <v>100</v>
      </c>
      <c r="X19" s="127">
        <f>W19-U19</f>
        <v>0</v>
      </c>
      <c r="Y19" s="132"/>
    </row>
    <row r="20" ht="45.65" customHeight="1" spans="1:25" x14ac:dyDescent="0.25">
      <c r="A20" s="121">
        <v>15</v>
      </c>
      <c r="B20" s="122" t="s">
        <v>263</v>
      </c>
      <c r="C20" s="123" t="s">
        <v>132</v>
      </c>
      <c r="D20" s="124"/>
      <c r="E20" s="124" t="s">
        <v>338</v>
      </c>
      <c r="F20" s="124" t="s">
        <v>339</v>
      </c>
      <c r="G20" s="123" t="s">
        <v>133</v>
      </c>
      <c r="H20" s="122">
        <v>450</v>
      </c>
      <c r="I20" s="125">
        <v>26</v>
      </c>
      <c r="J20" s="125">
        <v>0</v>
      </c>
      <c r="K20" s="126">
        <f t="shared" si="0"/>
        <v>450</v>
      </c>
      <c r="L20" s="126">
        <f t="shared" si="1"/>
        <v>0</v>
      </c>
      <c r="M20" s="126">
        <v>0</v>
      </c>
      <c r="N20" s="126">
        <v>0</v>
      </c>
      <c r="O20" s="126">
        <v>0</v>
      </c>
      <c r="P20" s="126">
        <f t="shared" si="2"/>
        <v>450</v>
      </c>
      <c r="Q20" s="126">
        <v>0</v>
      </c>
      <c r="R20" s="126">
        <v>0</v>
      </c>
      <c r="S20" s="126">
        <v>50</v>
      </c>
      <c r="T20" s="151">
        <v>0</v>
      </c>
      <c r="U20" s="127">
        <f t="shared" si="3"/>
        <v>400</v>
      </c>
      <c r="V20" s="127">
        <f t="shared" si="5"/>
        <v>400</v>
      </c>
      <c r="W20" s="127"/>
      <c r="X20" s="127">
        <f t="shared" si="4"/>
        <v>0</v>
      </c>
      <c r="Y20" s="132"/>
    </row>
    <row r="21" ht="45.65" customHeight="1" spans="1:25" x14ac:dyDescent="0.25">
      <c r="A21" s="121">
        <v>16</v>
      </c>
      <c r="B21" s="122" t="s">
        <v>264</v>
      </c>
      <c r="C21" s="123" t="s">
        <v>136</v>
      </c>
      <c r="D21" s="124"/>
      <c r="E21" s="124" t="s">
        <v>139</v>
      </c>
      <c r="F21" s="124" t="s">
        <v>340</v>
      </c>
      <c r="G21" s="123" t="s">
        <v>137</v>
      </c>
      <c r="H21" s="122">
        <v>50</v>
      </c>
      <c r="I21" s="210">
        <v>26</v>
      </c>
      <c r="J21" s="125">
        <v>0</v>
      </c>
      <c r="K21" s="126">
        <f t="shared" si="0"/>
        <v>50</v>
      </c>
      <c r="L21" s="126">
        <f t="shared" si="1"/>
        <v>0</v>
      </c>
      <c r="M21" s="151">
        <v>0</v>
      </c>
      <c r="N21" s="151">
        <v>0</v>
      </c>
      <c r="O21" s="151">
        <v>0</v>
      </c>
      <c r="P21" s="126">
        <f t="shared" si="2"/>
        <v>50</v>
      </c>
      <c r="Q21" s="151">
        <v>0</v>
      </c>
      <c r="R21" s="126">
        <v>0</v>
      </c>
      <c r="S21" s="151">
        <v>0</v>
      </c>
      <c r="T21" s="151">
        <v>0</v>
      </c>
      <c r="U21" s="127">
        <f t="shared" si="3"/>
        <v>50</v>
      </c>
      <c r="V21" s="127">
        <f t="shared" si="5"/>
        <v>50</v>
      </c>
      <c r="W21" s="127"/>
      <c r="X21" s="127">
        <f t="shared" si="4"/>
        <v>0</v>
      </c>
      <c r="Y21" s="212"/>
    </row>
    <row r="22" ht="45.65" customHeight="1" spans="1:25" x14ac:dyDescent="0.25">
      <c r="A22" s="121">
        <v>17</v>
      </c>
      <c r="B22" s="122" t="s">
        <v>267</v>
      </c>
      <c r="C22" s="123" t="s">
        <v>138</v>
      </c>
      <c r="D22" s="124"/>
      <c r="E22" s="124" t="s">
        <v>139</v>
      </c>
      <c r="F22" s="124" t="s">
        <v>340</v>
      </c>
      <c r="G22" s="123" t="s">
        <v>139</v>
      </c>
      <c r="H22" s="122">
        <v>150</v>
      </c>
      <c r="I22" s="125">
        <v>26</v>
      </c>
      <c r="J22" s="125">
        <v>0</v>
      </c>
      <c r="K22" s="126">
        <f t="shared" si="0"/>
        <v>150</v>
      </c>
      <c r="L22" s="126">
        <f t="shared" si="1"/>
        <v>0</v>
      </c>
      <c r="M22" s="126">
        <v>0</v>
      </c>
      <c r="N22" s="126">
        <v>0</v>
      </c>
      <c r="O22" s="126">
        <v>0</v>
      </c>
      <c r="P22" s="126">
        <f t="shared" si="2"/>
        <v>150</v>
      </c>
      <c r="Q22" s="126">
        <v>0</v>
      </c>
      <c r="R22" s="126">
        <v>8.65</v>
      </c>
      <c r="S22" s="126">
        <v>0</v>
      </c>
      <c r="T22" s="151">
        <v>0</v>
      </c>
      <c r="U22" s="127">
        <f t="shared" si="3"/>
        <v>141.35</v>
      </c>
      <c r="V22" s="127">
        <f t="shared" si="5"/>
        <v>141.35</v>
      </c>
      <c r="W22" s="127"/>
      <c r="X22" s="127">
        <f t="shared" si="4"/>
        <v>0</v>
      </c>
      <c r="Y22" s="132"/>
    </row>
    <row r="23" ht="45.65" customHeight="1" spans="1:25" x14ac:dyDescent="0.25">
      <c r="A23" s="121">
        <v>18</v>
      </c>
      <c r="B23" s="122" t="s">
        <v>219</v>
      </c>
      <c r="C23" s="123" t="s">
        <v>220</v>
      </c>
      <c r="D23" s="124"/>
      <c r="E23" s="124" t="s">
        <v>341</v>
      </c>
      <c r="F23" s="124" t="s">
        <v>331</v>
      </c>
      <c r="G23" s="123"/>
      <c r="H23" s="122">
        <v>170</v>
      </c>
      <c r="I23" s="125">
        <v>26</v>
      </c>
      <c r="J23" s="125">
        <v>0</v>
      </c>
      <c r="K23" s="126">
        <f t="shared" si="0"/>
        <v>170</v>
      </c>
      <c r="L23" s="126">
        <f t="shared" si="1"/>
        <v>0</v>
      </c>
      <c r="M23" s="126">
        <v>0</v>
      </c>
      <c r="N23" s="126">
        <v>0</v>
      </c>
      <c r="O23" s="126">
        <v>0</v>
      </c>
      <c r="P23" s="126">
        <f t="shared" si="2"/>
        <v>170</v>
      </c>
      <c r="Q23" s="126">
        <v>0</v>
      </c>
      <c r="R23" s="126">
        <v>0</v>
      </c>
      <c r="S23" s="126">
        <v>0</v>
      </c>
      <c r="T23" s="151">
        <v>0</v>
      </c>
      <c r="U23" s="127">
        <f t="shared" si="3"/>
        <v>170</v>
      </c>
      <c r="V23" s="127">
        <f t="shared" si="5"/>
        <v>170</v>
      </c>
      <c r="W23" s="127"/>
      <c r="X23" s="127">
        <f t="shared" si="4"/>
        <v>0</v>
      </c>
      <c r="Y23" s="132"/>
    </row>
    <row r="24" ht="45.65" customHeight="1" spans="1:25" x14ac:dyDescent="0.25">
      <c r="A24" s="121">
        <v>19</v>
      </c>
      <c r="B24" s="122" t="s">
        <v>221</v>
      </c>
      <c r="C24" s="123" t="s">
        <v>222</v>
      </c>
      <c r="D24" s="124"/>
      <c r="E24" s="124" t="s">
        <v>341</v>
      </c>
      <c r="F24" s="124" t="s">
        <v>331</v>
      </c>
      <c r="G24" s="123"/>
      <c r="H24" s="122">
        <v>150</v>
      </c>
      <c r="I24" s="125">
        <v>26</v>
      </c>
      <c r="J24" s="125">
        <v>0</v>
      </c>
      <c r="K24" s="126">
        <f t="shared" si="0"/>
        <v>150</v>
      </c>
      <c r="L24" s="126">
        <f t="shared" si="1"/>
        <v>0</v>
      </c>
      <c r="M24" s="126">
        <v>0</v>
      </c>
      <c r="N24" s="126">
        <v>0</v>
      </c>
      <c r="O24" s="126">
        <v>0</v>
      </c>
      <c r="P24" s="126">
        <f t="shared" si="2"/>
        <v>150</v>
      </c>
      <c r="Q24" s="126">
        <v>0</v>
      </c>
      <c r="R24" s="126">
        <v>0</v>
      </c>
      <c r="S24" s="126">
        <v>0</v>
      </c>
      <c r="T24" s="151">
        <v>0</v>
      </c>
      <c r="U24" s="127">
        <f t="shared" si="3"/>
        <v>150</v>
      </c>
      <c r="V24" s="127">
        <f t="shared" si="5"/>
        <v>150</v>
      </c>
      <c r="W24" s="127"/>
      <c r="X24" s="127">
        <f t="shared" si="4"/>
        <v>0</v>
      </c>
      <c r="Y24" s="132"/>
    </row>
    <row r="25" ht="45.65" customHeight="1" spans="1:25" x14ac:dyDescent="0.25">
      <c r="A25" s="121">
        <v>20</v>
      </c>
      <c r="B25" s="122" t="s">
        <v>293</v>
      </c>
      <c r="C25" s="123" t="s">
        <v>294</v>
      </c>
      <c r="D25" s="124"/>
      <c r="E25" s="124"/>
      <c r="F25" s="124"/>
      <c r="G25" s="123"/>
      <c r="H25" s="122">
        <v>100</v>
      </c>
      <c r="I25" s="125">
        <v>26</v>
      </c>
      <c r="J25" s="125">
        <v>0</v>
      </c>
      <c r="K25" s="126">
        <f t="shared" si="0"/>
        <v>100</v>
      </c>
      <c r="L25" s="126">
        <f t="shared" si="1"/>
        <v>0</v>
      </c>
      <c r="M25" s="126">
        <v>0</v>
      </c>
      <c r="N25" s="126">
        <v>0</v>
      </c>
      <c r="O25" s="126">
        <v>0</v>
      </c>
      <c r="P25" s="126">
        <f t="shared" si="2"/>
        <v>100</v>
      </c>
      <c r="Q25" s="126">
        <v>0</v>
      </c>
      <c r="R25" s="126">
        <v>0</v>
      </c>
      <c r="S25" s="126">
        <v>0</v>
      </c>
      <c r="T25" s="151">
        <v>0</v>
      </c>
      <c r="U25" s="127">
        <f t="shared" si="3"/>
        <v>100</v>
      </c>
      <c r="V25" s="127">
        <v>0</v>
      </c>
      <c r="W25" s="127">
        <f>U25</f>
        <v>100</v>
      </c>
      <c r="X25" s="127">
        <f>W25-U25</f>
        <v>0</v>
      </c>
      <c r="Y25" s="132"/>
    </row>
    <row r="26" ht="45.65" customHeight="1" spans="1:25" x14ac:dyDescent="0.25">
      <c r="A26" s="121">
        <v>21</v>
      </c>
      <c r="B26" s="122" t="s">
        <v>269</v>
      </c>
      <c r="C26" s="123" t="s">
        <v>144</v>
      </c>
      <c r="D26" s="124"/>
      <c r="E26" s="124" t="s">
        <v>330</v>
      </c>
      <c r="F26" s="124" t="s">
        <v>331</v>
      </c>
      <c r="G26" s="123" t="s">
        <v>69</v>
      </c>
      <c r="H26" s="122">
        <v>80</v>
      </c>
      <c r="I26" s="125">
        <v>26</v>
      </c>
      <c r="J26" s="125">
        <v>0</v>
      </c>
      <c r="K26" s="126">
        <f t="shared" si="0"/>
        <v>80</v>
      </c>
      <c r="L26" s="126">
        <f t="shared" si="1"/>
        <v>0</v>
      </c>
      <c r="M26" s="126">
        <v>0</v>
      </c>
      <c r="N26" s="126">
        <v>0</v>
      </c>
      <c r="O26" s="126">
        <v>0</v>
      </c>
      <c r="P26" s="126">
        <f t="shared" si="2"/>
        <v>80</v>
      </c>
      <c r="Q26" s="126">
        <v>0</v>
      </c>
      <c r="R26" s="126">
        <v>0</v>
      </c>
      <c r="S26" s="126">
        <v>0</v>
      </c>
      <c r="T26" s="151">
        <v>0</v>
      </c>
      <c r="U26" s="127">
        <f t="shared" si="3"/>
        <v>80</v>
      </c>
      <c r="V26" s="127">
        <f t="shared" si="5"/>
        <v>80</v>
      </c>
      <c r="W26" s="127"/>
      <c r="X26" s="127">
        <f t="shared" si="4"/>
        <v>0</v>
      </c>
      <c r="Y26" s="132"/>
    </row>
    <row r="27" ht="45.65" customHeight="1" spans="1:25" x14ac:dyDescent="0.25">
      <c r="A27" s="121">
        <v>22</v>
      </c>
      <c r="B27" s="122" t="s">
        <v>270</v>
      </c>
      <c r="C27" s="123" t="s">
        <v>145</v>
      </c>
      <c r="D27" s="124"/>
      <c r="E27" s="124" t="s">
        <v>321</v>
      </c>
      <c r="F27" s="124" t="s">
        <v>329</v>
      </c>
      <c r="G27" s="123"/>
      <c r="H27" s="122">
        <v>150</v>
      </c>
      <c r="I27" s="125">
        <v>26</v>
      </c>
      <c r="J27" s="125">
        <v>0</v>
      </c>
      <c r="K27" s="126">
        <f t="shared" si="0"/>
        <v>150</v>
      </c>
      <c r="L27" s="126">
        <f t="shared" si="1"/>
        <v>0</v>
      </c>
      <c r="M27" s="126">
        <v>0</v>
      </c>
      <c r="N27" s="126">
        <v>0</v>
      </c>
      <c r="O27" s="126">
        <v>0</v>
      </c>
      <c r="P27" s="126">
        <f t="shared" si="2"/>
        <v>150</v>
      </c>
      <c r="Q27" s="126">
        <v>0</v>
      </c>
      <c r="R27" s="126">
        <v>0</v>
      </c>
      <c r="S27" s="126">
        <v>0</v>
      </c>
      <c r="T27" s="151">
        <v>0</v>
      </c>
      <c r="U27" s="127">
        <f t="shared" si="3"/>
        <v>150</v>
      </c>
      <c r="V27" s="127">
        <f t="shared" si="5"/>
        <v>150</v>
      </c>
      <c r="W27" s="127"/>
      <c r="X27" s="127">
        <f t="shared" si="4"/>
        <v>0</v>
      </c>
      <c r="Y27" s="132"/>
    </row>
    <row r="28" ht="45.65" customHeight="1" spans="1:25" x14ac:dyDescent="0.25">
      <c r="A28" s="121">
        <v>23</v>
      </c>
      <c r="B28" s="122" t="s">
        <v>223</v>
      </c>
      <c r="C28" s="123" t="s">
        <v>224</v>
      </c>
      <c r="D28" s="124"/>
      <c r="E28" s="124" t="s">
        <v>341</v>
      </c>
      <c r="F28" s="124" t="s">
        <v>331</v>
      </c>
      <c r="G28" s="123"/>
      <c r="H28" s="122">
        <v>150</v>
      </c>
      <c r="I28" s="125">
        <v>26</v>
      </c>
      <c r="J28" s="125">
        <v>0</v>
      </c>
      <c r="K28" s="126">
        <f t="shared" si="0"/>
        <v>150</v>
      </c>
      <c r="L28" s="126">
        <f t="shared" si="1"/>
        <v>0</v>
      </c>
      <c r="M28" s="126">
        <v>0</v>
      </c>
      <c r="N28" s="126">
        <v>0</v>
      </c>
      <c r="O28" s="126">
        <v>0</v>
      </c>
      <c r="P28" s="126">
        <f t="shared" si="2"/>
        <v>150</v>
      </c>
      <c r="Q28" s="126">
        <v>0</v>
      </c>
      <c r="R28" s="126">
        <v>0</v>
      </c>
      <c r="S28" s="126">
        <v>0</v>
      </c>
      <c r="T28" s="151">
        <v>0</v>
      </c>
      <c r="U28" s="127">
        <f t="shared" si="3"/>
        <v>150</v>
      </c>
      <c r="V28" s="127">
        <f t="shared" si="5"/>
        <v>150</v>
      </c>
      <c r="W28" s="127"/>
      <c r="X28" s="127">
        <f t="shared" si="4"/>
        <v>0</v>
      </c>
      <c r="Y28" s="132"/>
    </row>
    <row r="29" ht="45.65" customHeight="1" spans="1:25" x14ac:dyDescent="0.25">
      <c r="A29" s="121">
        <v>24</v>
      </c>
      <c r="B29" s="122" t="s">
        <v>271</v>
      </c>
      <c r="C29" s="123" t="s">
        <v>148</v>
      </c>
      <c r="D29" s="124"/>
      <c r="E29" s="124" t="s">
        <v>334</v>
      </c>
      <c r="F29" s="124" t="s">
        <v>342</v>
      </c>
      <c r="G29" s="123"/>
      <c r="H29" s="122">
        <v>200</v>
      </c>
      <c r="I29" s="125">
        <v>26</v>
      </c>
      <c r="J29" s="125">
        <v>0</v>
      </c>
      <c r="K29" s="126">
        <f t="shared" si="0"/>
        <v>200</v>
      </c>
      <c r="L29" s="126">
        <f t="shared" si="1"/>
        <v>0</v>
      </c>
      <c r="M29" s="126">
        <v>0</v>
      </c>
      <c r="N29" s="126">
        <v>0</v>
      </c>
      <c r="O29" s="126">
        <v>0</v>
      </c>
      <c r="P29" s="126">
        <f t="shared" si="2"/>
        <v>200</v>
      </c>
      <c r="Q29" s="126">
        <v>0</v>
      </c>
      <c r="R29" s="126">
        <v>0</v>
      </c>
      <c r="S29" s="126">
        <v>0</v>
      </c>
      <c r="T29" s="151">
        <v>0</v>
      </c>
      <c r="U29" s="127">
        <f t="shared" si="3"/>
        <v>200</v>
      </c>
      <c r="V29" s="127">
        <f t="shared" si="5"/>
        <v>200</v>
      </c>
      <c r="W29" s="127"/>
      <c r="X29" s="127">
        <f t="shared" si="4"/>
        <v>0</v>
      </c>
      <c r="Y29" s="132"/>
    </row>
    <row r="30" ht="45.65" customHeight="1" spans="1:25" x14ac:dyDescent="0.25">
      <c r="A30" s="121">
        <v>25</v>
      </c>
      <c r="B30" s="122" t="s">
        <v>272</v>
      </c>
      <c r="C30" s="123" t="s">
        <v>149</v>
      </c>
      <c r="D30" s="124"/>
      <c r="E30" s="124" t="s">
        <v>334</v>
      </c>
      <c r="F30" s="124" t="s">
        <v>342</v>
      </c>
      <c r="G30" s="123"/>
      <c r="H30" s="122">
        <v>250</v>
      </c>
      <c r="I30" s="125">
        <v>26</v>
      </c>
      <c r="J30" s="125">
        <v>0</v>
      </c>
      <c r="K30" s="126">
        <f t="shared" si="0"/>
        <v>250</v>
      </c>
      <c r="L30" s="126">
        <f t="shared" si="1"/>
        <v>0</v>
      </c>
      <c r="M30" s="126">
        <v>0</v>
      </c>
      <c r="N30" s="126">
        <v>0</v>
      </c>
      <c r="O30" s="126">
        <v>0</v>
      </c>
      <c r="P30" s="126">
        <f t="shared" si="2"/>
        <v>250</v>
      </c>
      <c r="Q30" s="126">
        <v>0</v>
      </c>
      <c r="R30" s="126">
        <v>0</v>
      </c>
      <c r="S30" s="126">
        <v>0</v>
      </c>
      <c r="T30" s="151">
        <v>0</v>
      </c>
      <c r="U30" s="127">
        <f t="shared" si="3"/>
        <v>250</v>
      </c>
      <c r="V30" s="127">
        <f t="shared" si="5"/>
        <v>250</v>
      </c>
      <c r="W30" s="127"/>
      <c r="X30" s="127">
        <f t="shared" si="4"/>
        <v>0</v>
      </c>
      <c r="Y30" s="132"/>
    </row>
    <row r="31" ht="45.65" customHeight="1" spans="1:25" x14ac:dyDescent="0.25">
      <c r="A31" s="121">
        <v>26</v>
      </c>
      <c r="B31" s="122" t="s">
        <v>226</v>
      </c>
      <c r="C31" s="123" t="s">
        <v>152</v>
      </c>
      <c r="D31" s="124"/>
      <c r="E31" s="124" t="s">
        <v>343</v>
      </c>
      <c r="F31" s="124" t="s">
        <v>328</v>
      </c>
      <c r="G31" s="123" t="s">
        <v>153</v>
      </c>
      <c r="H31" s="122">
        <v>270</v>
      </c>
      <c r="I31" s="125">
        <v>26</v>
      </c>
      <c r="J31" s="125">
        <v>0</v>
      </c>
      <c r="K31" s="126">
        <f t="shared" si="0"/>
        <v>270</v>
      </c>
      <c r="L31" s="126">
        <f t="shared" si="1"/>
        <v>0</v>
      </c>
      <c r="M31" s="126">
        <v>0</v>
      </c>
      <c r="N31" s="126">
        <v>0</v>
      </c>
      <c r="O31" s="126">
        <v>0</v>
      </c>
      <c r="P31" s="126">
        <f t="shared" si="2"/>
        <v>270</v>
      </c>
      <c r="Q31" s="126">
        <v>0</v>
      </c>
      <c r="R31" s="126">
        <v>124.62</v>
      </c>
      <c r="S31" s="126">
        <v>0</v>
      </c>
      <c r="T31" s="151">
        <v>0</v>
      </c>
      <c r="U31" s="127">
        <f t="shared" si="3"/>
        <v>145.38</v>
      </c>
      <c r="V31" s="127">
        <f t="shared" si="5"/>
        <v>145.38</v>
      </c>
      <c r="W31" s="127"/>
      <c r="X31" s="127">
        <f t="shared" si="4"/>
        <v>0</v>
      </c>
      <c r="Y31" s="132"/>
    </row>
    <row r="32" ht="45.65" customHeight="1" spans="1:25" x14ac:dyDescent="0.25">
      <c r="A32" s="121">
        <v>27</v>
      </c>
      <c r="B32" s="122" t="s">
        <v>273</v>
      </c>
      <c r="C32" s="123" t="s">
        <v>246</v>
      </c>
      <c r="D32" s="124"/>
      <c r="E32" s="124" t="s">
        <v>338</v>
      </c>
      <c r="F32" s="124" t="s">
        <v>333</v>
      </c>
      <c r="G32" s="123"/>
      <c r="H32" s="122">
        <v>280</v>
      </c>
      <c r="I32" s="125">
        <v>26</v>
      </c>
      <c r="J32" s="125">
        <v>0</v>
      </c>
      <c r="K32" s="126">
        <f t="shared" si="0"/>
        <v>280</v>
      </c>
      <c r="L32" s="126">
        <f t="shared" si="1"/>
        <v>0</v>
      </c>
      <c r="M32" s="126">
        <v>30</v>
      </c>
      <c r="N32" s="126">
        <v>0</v>
      </c>
      <c r="O32" s="126">
        <v>0</v>
      </c>
      <c r="P32" s="126">
        <f t="shared" si="2"/>
        <v>310</v>
      </c>
      <c r="Q32" s="126">
        <v>0</v>
      </c>
      <c r="R32" s="126">
        <v>0</v>
      </c>
      <c r="S32" s="126">
        <v>0</v>
      </c>
      <c r="T32" s="151">
        <v>0</v>
      </c>
      <c r="U32" s="127">
        <f t="shared" si="3"/>
        <v>310</v>
      </c>
      <c r="V32" s="127">
        <f t="shared" si="5"/>
        <v>310</v>
      </c>
      <c r="W32" s="127"/>
      <c r="X32" s="127">
        <f t="shared" si="4"/>
        <v>0</v>
      </c>
      <c r="Y32" s="132"/>
    </row>
    <row r="33" ht="45.65" customHeight="1" spans="1:25" x14ac:dyDescent="0.25">
      <c r="A33" s="121">
        <v>28</v>
      </c>
      <c r="B33" s="122" t="s">
        <v>227</v>
      </c>
      <c r="C33" s="123" t="s">
        <v>191</v>
      </c>
      <c r="D33" s="124"/>
      <c r="E33" s="124" t="s">
        <v>327</v>
      </c>
      <c r="F33" s="124" t="s">
        <v>344</v>
      </c>
      <c r="G33" s="123"/>
      <c r="H33" s="122">
        <v>400</v>
      </c>
      <c r="I33" s="125">
        <v>26</v>
      </c>
      <c r="J33" s="125">
        <v>0</v>
      </c>
      <c r="K33" s="126">
        <f t="shared" si="0"/>
        <v>400</v>
      </c>
      <c r="L33" s="126">
        <f t="shared" si="1"/>
        <v>0</v>
      </c>
      <c r="M33" s="126">
        <v>0</v>
      </c>
      <c r="N33" s="126">
        <v>0</v>
      </c>
      <c r="O33" s="126">
        <v>0</v>
      </c>
      <c r="P33" s="126">
        <f t="shared" si="2"/>
        <v>400</v>
      </c>
      <c r="Q33" s="126">
        <v>0</v>
      </c>
      <c r="R33" s="126">
        <v>0</v>
      </c>
      <c r="S33" s="126">
        <v>0</v>
      </c>
      <c r="T33" s="151">
        <v>0</v>
      </c>
      <c r="U33" s="127">
        <f t="shared" si="3"/>
        <v>400</v>
      </c>
      <c r="V33" s="127">
        <v>800</v>
      </c>
      <c r="W33" s="127"/>
      <c r="X33" s="127">
        <f t="shared" si="4"/>
        <v>400</v>
      </c>
      <c r="Y33" s="132" t="s">
        <v>57</v>
      </c>
    </row>
    <row r="34" ht="45.65" customHeight="1" spans="1:25" x14ac:dyDescent="0.25">
      <c r="A34" s="121">
        <v>29</v>
      </c>
      <c r="B34" s="122" t="s">
        <v>228</v>
      </c>
      <c r="C34" s="123" t="s">
        <v>247</v>
      </c>
      <c r="D34" s="124"/>
      <c r="E34" s="124" t="s">
        <v>338</v>
      </c>
      <c r="F34" s="124" t="s">
        <v>345</v>
      </c>
      <c r="G34" s="123" t="s">
        <v>160</v>
      </c>
      <c r="H34" s="122">
        <v>450</v>
      </c>
      <c r="I34" s="210">
        <v>26</v>
      </c>
      <c r="J34" s="125">
        <v>0</v>
      </c>
      <c r="K34" s="126">
        <f t="shared" si="0"/>
        <v>450</v>
      </c>
      <c r="L34" s="126">
        <f t="shared" si="1"/>
        <v>0</v>
      </c>
      <c r="M34" s="151">
        <v>0</v>
      </c>
      <c r="N34" s="151">
        <v>0</v>
      </c>
      <c r="O34" s="151">
        <v>0</v>
      </c>
      <c r="P34" s="126">
        <f t="shared" si="2"/>
        <v>450</v>
      </c>
      <c r="Q34" s="151">
        <v>0</v>
      </c>
      <c r="R34" s="126">
        <v>0</v>
      </c>
      <c r="S34" s="151">
        <v>0</v>
      </c>
      <c r="T34" s="151">
        <v>0</v>
      </c>
      <c r="U34" s="127">
        <f t="shared" si="3"/>
        <v>450</v>
      </c>
      <c r="V34" s="127">
        <v>600</v>
      </c>
      <c r="W34" s="127"/>
      <c r="X34" s="127">
        <f t="shared" si="4"/>
        <v>150</v>
      </c>
      <c r="Y34" s="132" t="s">
        <v>57</v>
      </c>
    </row>
    <row r="35" ht="45.65" customHeight="1" spans="1:25" x14ac:dyDescent="0.25">
      <c r="A35" s="121">
        <v>30</v>
      </c>
      <c r="B35" s="122" t="s">
        <v>229</v>
      </c>
      <c r="C35" s="123" t="s">
        <v>161</v>
      </c>
      <c r="D35" s="124"/>
      <c r="E35" s="124" t="s">
        <v>338</v>
      </c>
      <c r="F35" s="124" t="s">
        <v>345</v>
      </c>
      <c r="G35" s="123" t="s">
        <v>162</v>
      </c>
      <c r="H35" s="122">
        <v>550</v>
      </c>
      <c r="I35" s="125">
        <v>26</v>
      </c>
      <c r="J35" s="125">
        <v>0</v>
      </c>
      <c r="K35" s="126">
        <f t="shared" si="0"/>
        <v>550</v>
      </c>
      <c r="L35" s="126">
        <f t="shared" si="1"/>
        <v>0</v>
      </c>
      <c r="M35" s="126">
        <v>0</v>
      </c>
      <c r="N35" s="126">
        <v>0</v>
      </c>
      <c r="O35" s="126">
        <v>0</v>
      </c>
      <c r="P35" s="126">
        <f t="shared" si="2"/>
        <v>550</v>
      </c>
      <c r="Q35" s="126">
        <v>0</v>
      </c>
      <c r="R35" s="126">
        <v>0</v>
      </c>
      <c r="S35" s="126">
        <v>0</v>
      </c>
      <c r="T35" s="151">
        <v>0</v>
      </c>
      <c r="U35" s="127">
        <f t="shared" si="3"/>
        <v>550</v>
      </c>
      <c r="V35" s="127">
        <f t="shared" ref="V35:V53" si="6">U35</f>
        <v>550</v>
      </c>
      <c r="W35" s="127"/>
      <c r="X35" s="127">
        <f t="shared" si="4"/>
        <v>0</v>
      </c>
      <c r="Y35" s="132"/>
    </row>
    <row r="36" ht="45.65" customHeight="1" spans="1:25" x14ac:dyDescent="0.25">
      <c r="A36" s="121">
        <v>31</v>
      </c>
      <c r="B36" s="122" t="s">
        <v>231</v>
      </c>
      <c r="C36" s="123" t="s">
        <v>165</v>
      </c>
      <c r="D36" s="124"/>
      <c r="E36" s="124" t="s">
        <v>338</v>
      </c>
      <c r="F36" s="124" t="s">
        <v>345</v>
      </c>
      <c r="G36" s="123" t="s">
        <v>164</v>
      </c>
      <c r="H36" s="122">
        <v>450</v>
      </c>
      <c r="I36" s="125">
        <v>26</v>
      </c>
      <c r="J36" s="125">
        <v>0</v>
      </c>
      <c r="K36" s="126">
        <f t="shared" si="0"/>
        <v>450</v>
      </c>
      <c r="L36" s="126">
        <f t="shared" si="1"/>
        <v>0</v>
      </c>
      <c r="M36" s="126">
        <v>0</v>
      </c>
      <c r="N36" s="126">
        <v>0</v>
      </c>
      <c r="O36" s="126">
        <v>0</v>
      </c>
      <c r="P36" s="126">
        <f t="shared" si="2"/>
        <v>450</v>
      </c>
      <c r="Q36" s="126">
        <v>0</v>
      </c>
      <c r="R36" s="126">
        <v>0</v>
      </c>
      <c r="S36" s="126">
        <v>0</v>
      </c>
      <c r="T36" s="151">
        <v>0</v>
      </c>
      <c r="U36" s="127">
        <f t="shared" si="3"/>
        <v>450</v>
      </c>
      <c r="V36" s="127">
        <f t="shared" si="6"/>
        <v>450</v>
      </c>
      <c r="W36" s="127"/>
      <c r="X36" s="127">
        <f t="shared" si="4"/>
        <v>0</v>
      </c>
      <c r="Y36" s="132"/>
    </row>
    <row r="37" ht="45.65" customHeight="1" spans="1:25" x14ac:dyDescent="0.25">
      <c r="A37" s="121">
        <v>32</v>
      </c>
      <c r="B37" s="122" t="s">
        <v>233</v>
      </c>
      <c r="C37" s="123" t="s">
        <v>166</v>
      </c>
      <c r="D37" s="124"/>
      <c r="E37" s="124" t="s">
        <v>338</v>
      </c>
      <c r="F37" s="124" t="s">
        <v>333</v>
      </c>
      <c r="G37" s="123" t="s">
        <v>167</v>
      </c>
      <c r="H37" s="122">
        <v>260</v>
      </c>
      <c r="I37" s="125">
        <v>26</v>
      </c>
      <c r="J37" s="125">
        <v>0</v>
      </c>
      <c r="K37" s="126">
        <f t="shared" si="0"/>
        <v>260</v>
      </c>
      <c r="L37" s="126">
        <f t="shared" si="1"/>
        <v>0</v>
      </c>
      <c r="M37" s="126">
        <v>0</v>
      </c>
      <c r="N37" s="126">
        <v>0</v>
      </c>
      <c r="O37" s="126">
        <v>0</v>
      </c>
      <c r="P37" s="126">
        <f t="shared" si="2"/>
        <v>260</v>
      </c>
      <c r="Q37" s="126">
        <v>0</v>
      </c>
      <c r="R37" s="126">
        <v>0</v>
      </c>
      <c r="S37" s="126">
        <v>0</v>
      </c>
      <c r="T37" s="151">
        <v>0</v>
      </c>
      <c r="U37" s="127">
        <f t="shared" si="3"/>
        <v>260</v>
      </c>
      <c r="V37" s="127">
        <f t="shared" si="6"/>
        <v>260</v>
      </c>
      <c r="W37" s="127"/>
      <c r="X37" s="127">
        <f t="shared" si="4"/>
        <v>0</v>
      </c>
      <c r="Y37" s="132"/>
    </row>
    <row r="38" ht="45.65" customHeight="1" spans="1:25" x14ac:dyDescent="0.25">
      <c r="A38" s="121">
        <v>33</v>
      </c>
      <c r="B38" s="129" t="s">
        <v>261</v>
      </c>
      <c r="C38" s="130" t="s">
        <v>114</v>
      </c>
      <c r="D38" s="124"/>
      <c r="E38" s="124" t="s">
        <v>321</v>
      </c>
      <c r="F38" s="124" t="s">
        <v>328</v>
      </c>
      <c r="G38" s="130" t="s">
        <v>59</v>
      </c>
      <c r="H38" s="129">
        <v>160</v>
      </c>
      <c r="I38" s="210">
        <v>26</v>
      </c>
      <c r="J38" s="125">
        <v>0</v>
      </c>
      <c r="K38" s="126">
        <f t="shared" si="0"/>
        <v>160</v>
      </c>
      <c r="L38" s="126">
        <f t="shared" si="1"/>
        <v>0</v>
      </c>
      <c r="M38" s="151">
        <v>0</v>
      </c>
      <c r="N38" s="151">
        <v>0</v>
      </c>
      <c r="O38" s="151">
        <v>0</v>
      </c>
      <c r="P38" s="126">
        <f t="shared" si="2"/>
        <v>160</v>
      </c>
      <c r="Q38" s="151">
        <v>0</v>
      </c>
      <c r="R38" s="126">
        <v>0</v>
      </c>
      <c r="S38" s="151">
        <v>0</v>
      </c>
      <c r="T38" s="151">
        <v>0</v>
      </c>
      <c r="U38" s="127">
        <f t="shared" si="3"/>
        <v>160</v>
      </c>
      <c r="V38" s="127">
        <f t="shared" si="6"/>
        <v>160</v>
      </c>
      <c r="W38" s="127"/>
      <c r="X38" s="127">
        <f t="shared" si="4"/>
        <v>0</v>
      </c>
      <c r="Y38" s="132"/>
    </row>
    <row r="39" ht="45.65" customHeight="1" spans="1:25" s="213" customFormat="1" x14ac:dyDescent="0.25">
      <c r="A39" s="121">
        <v>34</v>
      </c>
      <c r="B39" s="122" t="s">
        <v>279</v>
      </c>
      <c r="C39" s="123" t="s">
        <v>181</v>
      </c>
      <c r="D39" s="124"/>
      <c r="E39" s="124"/>
      <c r="F39" s="124"/>
      <c r="G39" s="123" t="s">
        <v>178</v>
      </c>
      <c r="H39" s="122">
        <v>240</v>
      </c>
      <c r="I39" s="125">
        <v>26</v>
      </c>
      <c r="J39" s="125">
        <v>0</v>
      </c>
      <c r="K39" s="126">
        <f t="shared" si="0"/>
        <v>239.99999999999997</v>
      </c>
      <c r="L39" s="126">
        <f t="shared" si="1"/>
        <v>0</v>
      </c>
      <c r="M39" s="126">
        <v>0</v>
      </c>
      <c r="N39" s="126">
        <v>0</v>
      </c>
      <c r="O39" s="126">
        <v>0</v>
      </c>
      <c r="P39" s="126">
        <f t="shared" si="2"/>
        <v>239.99999999999997</v>
      </c>
      <c r="Q39" s="126">
        <v>0</v>
      </c>
      <c r="R39" s="126">
        <v>16.73</v>
      </c>
      <c r="S39" s="126">
        <v>0</v>
      </c>
      <c r="T39" s="151">
        <v>0</v>
      </c>
      <c r="U39" s="127">
        <f t="shared" si="3"/>
        <v>223.26999999999998</v>
      </c>
      <c r="V39" s="127">
        <f t="shared" si="6"/>
        <v>223.26999999999998</v>
      </c>
      <c r="W39" s="127"/>
      <c r="X39" s="127">
        <f t="shared" si="4"/>
        <v>0</v>
      </c>
      <c r="Y39" s="132"/>
    </row>
    <row r="40" ht="45.65" customHeight="1" spans="1:25" s="213" customFormat="1" x14ac:dyDescent="0.25">
      <c r="A40" s="121">
        <v>35</v>
      </c>
      <c r="B40" s="122" t="s">
        <v>280</v>
      </c>
      <c r="C40" s="123" t="s">
        <v>192</v>
      </c>
      <c r="D40" s="124"/>
      <c r="E40" s="124"/>
      <c r="F40" s="124"/>
      <c r="G40" s="123" t="s">
        <v>178</v>
      </c>
      <c r="H40" s="122">
        <v>150</v>
      </c>
      <c r="I40" s="125">
        <v>26</v>
      </c>
      <c r="J40" s="125">
        <v>0</v>
      </c>
      <c r="K40" s="126">
        <f t="shared" si="0"/>
        <v>150</v>
      </c>
      <c r="L40" s="126">
        <f t="shared" si="1"/>
        <v>0</v>
      </c>
      <c r="M40" s="126">
        <v>11.54</v>
      </c>
      <c r="N40" s="126">
        <v>0</v>
      </c>
      <c r="O40" s="126">
        <v>0</v>
      </c>
      <c r="P40" s="126">
        <f t="shared" si="2"/>
        <v>161.54</v>
      </c>
      <c r="Q40" s="126">
        <v>0</v>
      </c>
      <c r="R40" s="126">
        <v>34.62</v>
      </c>
      <c r="S40" s="126">
        <v>0</v>
      </c>
      <c r="T40" s="151">
        <v>0</v>
      </c>
      <c r="U40" s="127">
        <f t="shared" si="3"/>
        <v>126.91999999999999</v>
      </c>
      <c r="V40" s="127">
        <f t="shared" si="6"/>
        <v>126.91999999999999</v>
      </c>
      <c r="W40" s="127"/>
      <c r="X40" s="127">
        <f t="shared" si="4"/>
        <v>0</v>
      </c>
      <c r="Y40" s="132"/>
    </row>
    <row r="41" ht="45.65" customHeight="1" spans="1:25" x14ac:dyDescent="0.25">
      <c r="A41" s="121">
        <v>36</v>
      </c>
      <c r="B41" s="122" t="s">
        <v>281</v>
      </c>
      <c r="C41" s="171" t="s">
        <v>193</v>
      </c>
      <c r="D41" s="124"/>
      <c r="E41" s="124"/>
      <c r="F41" s="124"/>
      <c r="G41" s="171" t="s">
        <v>194</v>
      </c>
      <c r="H41" s="170">
        <v>150</v>
      </c>
      <c r="I41" s="173">
        <v>26</v>
      </c>
      <c r="J41" s="125">
        <v>0</v>
      </c>
      <c r="K41" s="126">
        <f t="shared" si="0"/>
        <v>150</v>
      </c>
      <c r="L41" s="126">
        <f t="shared" si="1"/>
        <v>0</v>
      </c>
      <c r="M41" s="174">
        <v>0</v>
      </c>
      <c r="N41" s="174">
        <v>0</v>
      </c>
      <c r="O41" s="174">
        <v>0</v>
      </c>
      <c r="P41" s="126">
        <f t="shared" si="2"/>
        <v>150</v>
      </c>
      <c r="Q41" s="174">
        <v>0</v>
      </c>
      <c r="R41" s="126">
        <v>0</v>
      </c>
      <c r="S41" s="174">
        <v>0</v>
      </c>
      <c r="T41" s="253">
        <v>0</v>
      </c>
      <c r="U41" s="127">
        <f t="shared" si="3"/>
        <v>150</v>
      </c>
      <c r="V41" s="127">
        <f t="shared" si="6"/>
        <v>150</v>
      </c>
      <c r="W41" s="127"/>
      <c r="X41" s="127">
        <f t="shared" si="4"/>
        <v>0</v>
      </c>
      <c r="Y41" s="132"/>
    </row>
    <row r="42" ht="45.65" customHeight="1" spans="1:25" x14ac:dyDescent="0.25">
      <c r="A42" s="121">
        <v>37</v>
      </c>
      <c r="B42" s="122" t="s">
        <v>282</v>
      </c>
      <c r="C42" s="178" t="s">
        <v>195</v>
      </c>
      <c r="D42" s="124"/>
      <c r="E42" s="124"/>
      <c r="F42" s="124"/>
      <c r="G42" s="178" t="s">
        <v>196</v>
      </c>
      <c r="H42" s="177">
        <v>250</v>
      </c>
      <c r="I42" s="180">
        <v>26</v>
      </c>
      <c r="J42" s="125">
        <v>0</v>
      </c>
      <c r="K42" s="126">
        <f t="shared" si="0"/>
        <v>250</v>
      </c>
      <c r="L42" s="126">
        <f t="shared" si="1"/>
        <v>0</v>
      </c>
      <c r="M42" s="181">
        <v>0</v>
      </c>
      <c r="N42" s="181">
        <v>0</v>
      </c>
      <c r="O42" s="181">
        <v>0</v>
      </c>
      <c r="P42" s="126">
        <f t="shared" si="2"/>
        <v>250</v>
      </c>
      <c r="Q42" s="181">
        <v>0</v>
      </c>
      <c r="R42" s="126">
        <v>0</v>
      </c>
      <c r="S42" s="181">
        <v>0</v>
      </c>
      <c r="T42" s="254">
        <v>0</v>
      </c>
      <c r="U42" s="127">
        <f t="shared" si="3"/>
        <v>250</v>
      </c>
      <c r="V42" s="127">
        <f t="shared" si="6"/>
        <v>250</v>
      </c>
      <c r="W42" s="127"/>
      <c r="X42" s="127">
        <f t="shared" si="4"/>
        <v>0</v>
      </c>
      <c r="Y42" s="132"/>
    </row>
    <row r="43" ht="45.65" customHeight="1" spans="1:25" x14ac:dyDescent="0.25">
      <c r="A43" s="121">
        <v>38</v>
      </c>
      <c r="B43" s="122" t="s">
        <v>283</v>
      </c>
      <c r="C43" s="155" t="s">
        <v>197</v>
      </c>
      <c r="D43" s="124"/>
      <c r="E43" s="124"/>
      <c r="F43" s="124"/>
      <c r="G43" s="155" t="s">
        <v>198</v>
      </c>
      <c r="H43" s="157">
        <v>100</v>
      </c>
      <c r="I43" s="125">
        <v>26</v>
      </c>
      <c r="J43" s="125">
        <v>0</v>
      </c>
      <c r="K43" s="126">
        <f t="shared" si="0"/>
        <v>100</v>
      </c>
      <c r="L43" s="126">
        <f t="shared" si="1"/>
        <v>0</v>
      </c>
      <c r="M43" s="126">
        <v>0</v>
      </c>
      <c r="N43" s="126">
        <v>0</v>
      </c>
      <c r="O43" s="126">
        <v>0</v>
      </c>
      <c r="P43" s="126">
        <f t="shared" si="2"/>
        <v>100</v>
      </c>
      <c r="Q43" s="126">
        <v>0</v>
      </c>
      <c r="R43" s="126">
        <v>0</v>
      </c>
      <c r="S43" s="126">
        <v>0</v>
      </c>
      <c r="T43" s="151">
        <v>0</v>
      </c>
      <c r="U43" s="127">
        <f t="shared" si="3"/>
        <v>100</v>
      </c>
      <c r="V43" s="127">
        <f t="shared" si="6"/>
        <v>100</v>
      </c>
      <c r="W43" s="127"/>
      <c r="X43" s="127">
        <f t="shared" si="4"/>
        <v>0</v>
      </c>
      <c r="Y43" s="132"/>
    </row>
    <row r="44" ht="45.65" customHeight="1" spans="1:25" x14ac:dyDescent="0.25">
      <c r="A44" s="121">
        <v>39</v>
      </c>
      <c r="B44" s="122" t="s">
        <v>284</v>
      </c>
      <c r="C44" s="155" t="s">
        <v>199</v>
      </c>
      <c r="D44" s="124"/>
      <c r="E44" s="124"/>
      <c r="F44" s="124"/>
      <c r="G44" s="155" t="s">
        <v>200</v>
      </c>
      <c r="H44" s="157">
        <v>150</v>
      </c>
      <c r="I44" s="125">
        <v>26</v>
      </c>
      <c r="J44" s="125">
        <v>0</v>
      </c>
      <c r="K44" s="126">
        <f t="shared" si="0"/>
        <v>150</v>
      </c>
      <c r="L44" s="126">
        <f t="shared" si="1"/>
        <v>0</v>
      </c>
      <c r="M44" s="126">
        <v>0</v>
      </c>
      <c r="N44" s="126">
        <v>0</v>
      </c>
      <c r="O44" s="126">
        <v>0</v>
      </c>
      <c r="P44" s="126">
        <f t="shared" si="2"/>
        <v>150</v>
      </c>
      <c r="Q44" s="126">
        <v>0</v>
      </c>
      <c r="R44" s="126">
        <v>0</v>
      </c>
      <c r="S44" s="126">
        <v>0</v>
      </c>
      <c r="T44" s="151">
        <v>0</v>
      </c>
      <c r="U44" s="127">
        <f t="shared" si="3"/>
        <v>150</v>
      </c>
      <c r="V44" s="127">
        <f t="shared" si="6"/>
        <v>150</v>
      </c>
      <c r="W44" s="127"/>
      <c r="X44" s="127">
        <f t="shared" si="4"/>
        <v>0</v>
      </c>
      <c r="Y44" s="132"/>
    </row>
    <row r="45" ht="45.65" customHeight="1" spans="1:25" x14ac:dyDescent="0.25">
      <c r="A45" s="121">
        <v>40</v>
      </c>
      <c r="B45" s="122" t="s">
        <v>285</v>
      </c>
      <c r="C45" s="155" t="s">
        <v>250</v>
      </c>
      <c r="D45" s="124"/>
      <c r="E45" s="124"/>
      <c r="F45" s="124"/>
      <c r="G45" s="155" t="s">
        <v>198</v>
      </c>
      <c r="H45" s="157">
        <v>100</v>
      </c>
      <c r="I45" s="125">
        <v>26</v>
      </c>
      <c r="J45" s="125">
        <v>0</v>
      </c>
      <c r="K45" s="126">
        <f t="shared" si="0"/>
        <v>100</v>
      </c>
      <c r="L45" s="126">
        <f t="shared" si="1"/>
        <v>0</v>
      </c>
      <c r="M45" s="126">
        <v>0</v>
      </c>
      <c r="N45" s="126">
        <v>0</v>
      </c>
      <c r="O45" s="126">
        <v>0</v>
      </c>
      <c r="P45" s="126">
        <f t="shared" si="2"/>
        <v>100</v>
      </c>
      <c r="Q45" s="126">
        <v>0</v>
      </c>
      <c r="R45" s="126">
        <v>0</v>
      </c>
      <c r="S45" s="126">
        <v>0</v>
      </c>
      <c r="T45" s="151">
        <v>0</v>
      </c>
      <c r="U45" s="127">
        <f t="shared" si="3"/>
        <v>100</v>
      </c>
      <c r="V45" s="127">
        <f t="shared" si="6"/>
        <v>100</v>
      </c>
      <c r="W45" s="127"/>
      <c r="X45" s="127">
        <f t="shared" si="4"/>
        <v>0</v>
      </c>
      <c r="Y45" s="132"/>
    </row>
    <row r="46" ht="45.65" customHeight="1" spans="1:25" x14ac:dyDescent="0.25">
      <c r="A46" s="121">
        <v>41</v>
      </c>
      <c r="B46" s="122" t="s">
        <v>252</v>
      </c>
      <c r="C46" s="155" t="s">
        <v>253</v>
      </c>
      <c r="D46" s="124"/>
      <c r="E46" s="124"/>
      <c r="F46" s="124"/>
      <c r="G46" s="155"/>
      <c r="H46" s="157">
        <v>500</v>
      </c>
      <c r="I46" s="125">
        <v>26</v>
      </c>
      <c r="J46" s="125">
        <v>0</v>
      </c>
      <c r="K46" s="126">
        <f t="shared" si="0"/>
        <v>500</v>
      </c>
      <c r="L46" s="126">
        <f t="shared" si="1"/>
        <v>0</v>
      </c>
      <c r="M46" s="126">
        <v>0</v>
      </c>
      <c r="N46" s="126">
        <v>0</v>
      </c>
      <c r="O46" s="126">
        <v>0</v>
      </c>
      <c r="P46" s="126">
        <f t="shared" si="2"/>
        <v>500</v>
      </c>
      <c r="Q46" s="126">
        <v>0</v>
      </c>
      <c r="R46" s="126">
        <v>0</v>
      </c>
      <c r="S46" s="126">
        <v>0</v>
      </c>
      <c r="T46" s="151">
        <v>0</v>
      </c>
      <c r="U46" s="127">
        <f t="shared" si="3"/>
        <v>500</v>
      </c>
      <c r="V46" s="127">
        <f t="shared" si="6"/>
        <v>500</v>
      </c>
      <c r="W46" s="127"/>
      <c r="X46" s="127">
        <f t="shared" si="4"/>
        <v>0</v>
      </c>
      <c r="Y46" s="132"/>
    </row>
    <row r="47" ht="45.65" customHeight="1" spans="1:25" x14ac:dyDescent="0.25">
      <c r="A47" s="121">
        <v>42</v>
      </c>
      <c r="B47" s="122" t="s">
        <v>287</v>
      </c>
      <c r="C47" s="155" t="s">
        <v>254</v>
      </c>
      <c r="D47" s="124"/>
      <c r="E47" s="124"/>
      <c r="F47" s="124"/>
      <c r="G47" s="155"/>
      <c r="H47" s="157">
        <v>350</v>
      </c>
      <c r="I47" s="125">
        <v>26</v>
      </c>
      <c r="J47" s="125">
        <v>0</v>
      </c>
      <c r="K47" s="126">
        <f t="shared" si="0"/>
        <v>350</v>
      </c>
      <c r="L47" s="126">
        <f t="shared" si="1"/>
        <v>0</v>
      </c>
      <c r="M47" s="126">
        <v>0</v>
      </c>
      <c r="N47" s="126">
        <v>0</v>
      </c>
      <c r="O47" s="126">
        <v>0</v>
      </c>
      <c r="P47" s="126">
        <f t="shared" si="2"/>
        <v>350</v>
      </c>
      <c r="Q47" s="126">
        <v>0</v>
      </c>
      <c r="R47" s="126">
        <v>0</v>
      </c>
      <c r="S47" s="126">
        <v>0</v>
      </c>
      <c r="T47" s="151">
        <v>0</v>
      </c>
      <c r="U47" s="127">
        <f t="shared" si="3"/>
        <v>350</v>
      </c>
      <c r="V47" s="127">
        <f t="shared" si="6"/>
        <v>350</v>
      </c>
      <c r="W47" s="127"/>
      <c r="X47" s="127">
        <f t="shared" si="4"/>
        <v>0</v>
      </c>
      <c r="Y47" s="132"/>
    </row>
    <row r="48" ht="45.65" customHeight="1" spans="1:25" x14ac:dyDescent="0.25">
      <c r="A48" s="121">
        <v>43</v>
      </c>
      <c r="B48" s="122" t="s">
        <v>288</v>
      </c>
      <c r="C48" s="155" t="s">
        <v>289</v>
      </c>
      <c r="D48" s="124"/>
      <c r="E48" s="124"/>
      <c r="F48" s="124"/>
      <c r="G48" s="155"/>
      <c r="H48" s="157">
        <v>80</v>
      </c>
      <c r="I48" s="125">
        <v>26</v>
      </c>
      <c r="J48" s="125">
        <v>0</v>
      </c>
      <c r="K48" s="126">
        <f t="shared" si="0"/>
        <v>80</v>
      </c>
      <c r="L48" s="126">
        <f t="shared" si="1"/>
        <v>0</v>
      </c>
      <c r="M48" s="126">
        <v>0</v>
      </c>
      <c r="N48" s="126">
        <v>0</v>
      </c>
      <c r="O48" s="126">
        <v>0</v>
      </c>
      <c r="P48" s="126">
        <f t="shared" si="2"/>
        <v>80</v>
      </c>
      <c r="Q48" s="126">
        <v>0</v>
      </c>
      <c r="R48" s="126">
        <v>0</v>
      </c>
      <c r="S48" s="126">
        <v>0</v>
      </c>
      <c r="T48" s="151">
        <v>0</v>
      </c>
      <c r="U48" s="127">
        <f t="shared" si="3"/>
        <v>80</v>
      </c>
      <c r="V48" s="127">
        <f t="shared" si="6"/>
        <v>80</v>
      </c>
      <c r="W48" s="127"/>
      <c r="X48" s="127">
        <f t="shared" si="4"/>
        <v>0</v>
      </c>
      <c r="Y48" s="132"/>
    </row>
    <row r="49" ht="45.65" customHeight="1" spans="1:25" x14ac:dyDescent="0.25">
      <c r="A49" s="121">
        <v>44</v>
      </c>
      <c r="B49" s="122" t="s">
        <v>290</v>
      </c>
      <c r="C49" s="155" t="s">
        <v>291</v>
      </c>
      <c r="D49" s="124"/>
      <c r="E49" s="124"/>
      <c r="F49" s="124"/>
      <c r="G49" s="155"/>
      <c r="H49" s="157">
        <v>60</v>
      </c>
      <c r="I49" s="125">
        <v>26</v>
      </c>
      <c r="J49" s="125">
        <v>0</v>
      </c>
      <c r="K49" s="126">
        <f t="shared" si="0"/>
        <v>59.99999999999999</v>
      </c>
      <c r="L49" s="126">
        <f t="shared" si="1"/>
        <v>0</v>
      </c>
      <c r="M49" s="126">
        <v>0</v>
      </c>
      <c r="N49" s="126">
        <v>0</v>
      </c>
      <c r="O49" s="126">
        <v>0</v>
      </c>
      <c r="P49" s="126">
        <f t="shared" si="2"/>
        <v>59.99999999999999</v>
      </c>
      <c r="Q49" s="126">
        <v>0</v>
      </c>
      <c r="R49" s="126">
        <v>0</v>
      </c>
      <c r="S49" s="126">
        <v>0</v>
      </c>
      <c r="T49" s="151">
        <v>0</v>
      </c>
      <c r="U49" s="127">
        <f t="shared" si="3"/>
        <v>59.99999999999999</v>
      </c>
      <c r="V49" s="127">
        <v>0</v>
      </c>
      <c r="W49" s="127">
        <f>U49</f>
        <v>59.99999999999999</v>
      </c>
      <c r="X49" s="127">
        <f>W49-U49</f>
        <v>0</v>
      </c>
      <c r="Y49" s="132"/>
    </row>
    <row r="50" ht="45.65" customHeight="1" spans="1:25" x14ac:dyDescent="0.25">
      <c r="A50" s="121">
        <v>45</v>
      </c>
      <c r="B50" s="122" t="s">
        <v>295</v>
      </c>
      <c r="C50" s="155" t="s">
        <v>296</v>
      </c>
      <c r="D50" s="124"/>
      <c r="E50" s="154"/>
      <c r="F50" s="124"/>
      <c r="G50" s="155"/>
      <c r="H50" s="157">
        <v>270</v>
      </c>
      <c r="I50" s="125">
        <v>26</v>
      </c>
      <c r="J50" s="125">
        <v>0</v>
      </c>
      <c r="K50" s="126">
        <f t="shared" si="0"/>
        <v>270</v>
      </c>
      <c r="L50" s="126">
        <f t="shared" si="1"/>
        <v>0</v>
      </c>
      <c r="M50" s="126">
        <v>0</v>
      </c>
      <c r="N50" s="126">
        <v>0</v>
      </c>
      <c r="O50" s="126">
        <v>0</v>
      </c>
      <c r="P50" s="126">
        <f t="shared" si="2"/>
        <v>270</v>
      </c>
      <c r="Q50" s="126">
        <v>0</v>
      </c>
      <c r="R50" s="126">
        <v>0</v>
      </c>
      <c r="S50" s="126">
        <v>0</v>
      </c>
      <c r="T50" s="151">
        <v>0</v>
      </c>
      <c r="U50" s="127">
        <f t="shared" si="3"/>
        <v>270</v>
      </c>
      <c r="V50" s="127">
        <f t="shared" si="6"/>
        <v>270</v>
      </c>
      <c r="W50" s="127"/>
      <c r="X50" s="127">
        <f t="shared" si="4"/>
        <v>0</v>
      </c>
      <c r="Y50" s="132"/>
    </row>
    <row r="51" ht="45.65" customHeight="1" spans="1:25" x14ac:dyDescent="0.25">
      <c r="A51" s="121">
        <v>46</v>
      </c>
      <c r="B51" s="122" t="s">
        <v>297</v>
      </c>
      <c r="C51" s="155" t="s">
        <v>298</v>
      </c>
      <c r="D51" s="124"/>
      <c r="E51" s="154"/>
      <c r="F51" s="124"/>
      <c r="G51" s="155"/>
      <c r="H51" s="157">
        <v>80</v>
      </c>
      <c r="I51" s="125">
        <v>26</v>
      </c>
      <c r="J51" s="125">
        <v>0</v>
      </c>
      <c r="K51" s="126">
        <f t="shared" si="0"/>
        <v>80</v>
      </c>
      <c r="L51" s="126">
        <f t="shared" si="1"/>
        <v>0</v>
      </c>
      <c r="M51" s="126">
        <v>0</v>
      </c>
      <c r="N51" s="126">
        <v>0</v>
      </c>
      <c r="O51" s="126">
        <v>0</v>
      </c>
      <c r="P51" s="126">
        <f t="shared" si="2"/>
        <v>80</v>
      </c>
      <c r="Q51" s="126">
        <v>0</v>
      </c>
      <c r="R51" s="126">
        <v>0</v>
      </c>
      <c r="S51" s="126">
        <v>0</v>
      </c>
      <c r="T51" s="151">
        <v>0</v>
      </c>
      <c r="U51" s="127">
        <f t="shared" si="3"/>
        <v>80</v>
      </c>
      <c r="V51" s="127">
        <f t="shared" si="6"/>
        <v>80</v>
      </c>
      <c r="W51" s="127"/>
      <c r="X51" s="127">
        <f t="shared" si="4"/>
        <v>0</v>
      </c>
      <c r="Y51" s="132"/>
    </row>
    <row r="52" ht="45.65" customHeight="1" spans="1:25" x14ac:dyDescent="0.25">
      <c r="A52" s="121">
        <v>47</v>
      </c>
      <c r="B52" s="122" t="s">
        <v>277</v>
      </c>
      <c r="C52" s="123" t="s">
        <v>176</v>
      </c>
      <c r="D52" s="124"/>
      <c r="E52" s="124" t="s">
        <v>177</v>
      </c>
      <c r="F52" s="124"/>
      <c r="G52" s="123" t="s">
        <v>178</v>
      </c>
      <c r="H52" s="122">
        <v>80</v>
      </c>
      <c r="I52" s="125">
        <v>26</v>
      </c>
      <c r="J52" s="125">
        <v>0</v>
      </c>
      <c r="K52" s="126">
        <f t="shared" si="0"/>
        <v>80</v>
      </c>
      <c r="L52" s="126">
        <f t="shared" si="1"/>
        <v>0</v>
      </c>
      <c r="M52" s="126">
        <v>0</v>
      </c>
      <c r="N52" s="126">
        <v>0</v>
      </c>
      <c r="O52" s="126">
        <v>0</v>
      </c>
      <c r="P52" s="126">
        <f t="shared" si="2"/>
        <v>80</v>
      </c>
      <c r="Q52" s="126">
        <v>0</v>
      </c>
      <c r="R52" s="126">
        <v>0</v>
      </c>
      <c r="S52" s="126">
        <v>0</v>
      </c>
      <c r="T52" s="151">
        <v>0</v>
      </c>
      <c r="U52" s="127">
        <f t="shared" si="3"/>
        <v>80</v>
      </c>
      <c r="V52" s="127">
        <v>0</v>
      </c>
      <c r="W52" s="127">
        <f>U52</f>
        <v>80</v>
      </c>
      <c r="X52" s="127">
        <f>W52-U52</f>
        <v>0</v>
      </c>
      <c r="Y52" s="132"/>
    </row>
    <row r="53" ht="45.65" customHeight="1" spans="1:25" x14ac:dyDescent="0.25">
      <c r="A53" s="121">
        <v>48</v>
      </c>
      <c r="B53" s="122" t="s">
        <v>299</v>
      </c>
      <c r="C53" s="123" t="s">
        <v>300</v>
      </c>
      <c r="D53" s="124"/>
      <c r="E53" s="124" t="s">
        <v>319</v>
      </c>
      <c r="F53" s="124"/>
      <c r="G53" s="123"/>
      <c r="H53" s="122">
        <v>250</v>
      </c>
      <c r="I53" s="125">
        <v>26</v>
      </c>
      <c r="J53" s="125">
        <v>0</v>
      </c>
      <c r="K53" s="126">
        <f t="shared" si="0"/>
        <v>250</v>
      </c>
      <c r="L53" s="126">
        <f t="shared" si="1"/>
        <v>0</v>
      </c>
      <c r="M53" s="126">
        <v>0</v>
      </c>
      <c r="N53" s="126">
        <v>0</v>
      </c>
      <c r="O53" s="126">
        <v>0</v>
      </c>
      <c r="P53" s="126">
        <f t="shared" si="2"/>
        <v>250</v>
      </c>
      <c r="Q53" s="126">
        <v>0</v>
      </c>
      <c r="R53" s="126">
        <v>0</v>
      </c>
      <c r="S53" s="126">
        <v>0</v>
      </c>
      <c r="T53" s="151">
        <v>0</v>
      </c>
      <c r="U53" s="127">
        <f t="shared" si="3"/>
        <v>250</v>
      </c>
      <c r="V53" s="127">
        <f t="shared" si="6"/>
        <v>250</v>
      </c>
      <c r="W53" s="127"/>
      <c r="X53" s="127">
        <f t="shared" si="4"/>
        <v>0</v>
      </c>
      <c r="Y53" s="132"/>
    </row>
    <row r="54" ht="45.65" customHeight="1" spans="1:25" x14ac:dyDescent="0.25">
      <c r="A54" s="121">
        <v>49</v>
      </c>
      <c r="B54" s="122" t="s">
        <v>237</v>
      </c>
      <c r="C54" s="155" t="s">
        <v>201</v>
      </c>
      <c r="D54" s="124"/>
      <c r="E54" s="154" t="s">
        <v>97</v>
      </c>
      <c r="F54" s="124" t="s">
        <v>328</v>
      </c>
      <c r="G54" s="155"/>
      <c r="H54" s="255">
        <v>434</v>
      </c>
      <c r="I54" s="125">
        <v>26</v>
      </c>
      <c r="J54" s="125">
        <v>0</v>
      </c>
      <c r="K54" s="126">
        <f t="shared" si="0"/>
        <v>434</v>
      </c>
      <c r="L54" s="126">
        <f t="shared" si="1"/>
        <v>0</v>
      </c>
      <c r="M54" s="126">
        <v>0</v>
      </c>
      <c r="N54" s="126">
        <v>0</v>
      </c>
      <c r="O54" s="126">
        <v>0</v>
      </c>
      <c r="P54" s="126">
        <f t="shared" si="2"/>
        <v>434</v>
      </c>
      <c r="Q54" s="126">
        <v>0</v>
      </c>
      <c r="R54" s="126">
        <v>0</v>
      </c>
      <c r="S54" s="126">
        <v>0</v>
      </c>
      <c r="T54" s="151">
        <v>0</v>
      </c>
      <c r="U54" s="127">
        <f t="shared" si="3"/>
        <v>434</v>
      </c>
      <c r="V54" s="127">
        <v>600</v>
      </c>
      <c r="W54" s="127"/>
      <c r="X54" s="127">
        <f t="shared" si="4"/>
        <v>166</v>
      </c>
      <c r="Y54" s="132" t="s">
        <v>57</v>
      </c>
    </row>
    <row r="55" ht="45.65" customHeight="1" spans="1:25" x14ac:dyDescent="0.25">
      <c r="A55" s="121">
        <v>50</v>
      </c>
      <c r="B55" s="122" t="s">
        <v>238</v>
      </c>
      <c r="C55" s="155" t="s">
        <v>202</v>
      </c>
      <c r="D55" s="124"/>
      <c r="E55" s="154" t="s">
        <v>97</v>
      </c>
      <c r="F55" s="124" t="s">
        <v>345</v>
      </c>
      <c r="G55" s="155" t="s">
        <v>301</v>
      </c>
      <c r="H55" s="156">
        <v>422.6</v>
      </c>
      <c r="I55" s="125">
        <v>26</v>
      </c>
      <c r="J55" s="125">
        <v>0</v>
      </c>
      <c r="K55" s="126">
        <f t="shared" si="0"/>
        <v>422.6</v>
      </c>
      <c r="L55" s="126">
        <f t="shared" si="1"/>
        <v>0</v>
      </c>
      <c r="M55" s="126">
        <v>0</v>
      </c>
      <c r="N55" s="126">
        <v>0</v>
      </c>
      <c r="O55" s="126">
        <v>0</v>
      </c>
      <c r="P55" s="126">
        <f t="shared" si="2"/>
        <v>422.6</v>
      </c>
      <c r="Q55" s="126">
        <v>0</v>
      </c>
      <c r="R55" s="126">
        <v>0</v>
      </c>
      <c r="S55" s="126">
        <v>0</v>
      </c>
      <c r="T55" s="151">
        <v>0</v>
      </c>
      <c r="U55" s="127">
        <f t="shared" si="3"/>
        <v>422.6</v>
      </c>
      <c r="V55" s="127">
        <f>U55</f>
        <v>422.6</v>
      </c>
      <c r="W55" s="127"/>
      <c r="X55" s="127">
        <f t="shared" si="4"/>
        <v>0</v>
      </c>
      <c r="Y55" s="132"/>
    </row>
    <row r="56" ht="45.65" customHeight="1" spans="1:25" x14ac:dyDescent="0.25">
      <c r="A56" s="121">
        <v>51</v>
      </c>
      <c r="B56" s="122" t="s">
        <v>239</v>
      </c>
      <c r="C56" s="155" t="s">
        <v>170</v>
      </c>
      <c r="D56" s="256" t="s">
        <v>346</v>
      </c>
      <c r="E56" s="257"/>
      <c r="F56" s="257"/>
      <c r="G56" s="258"/>
      <c r="H56" s="157">
        <v>0</v>
      </c>
      <c r="I56" s="125">
        <v>26</v>
      </c>
      <c r="J56" s="125">
        <v>0</v>
      </c>
      <c r="K56" s="126">
        <f t="shared" si="0"/>
        <v>0</v>
      </c>
      <c r="L56" s="126">
        <f t="shared" si="1"/>
        <v>0</v>
      </c>
      <c r="M56" s="126">
        <v>0</v>
      </c>
      <c r="N56" s="126">
        <v>0</v>
      </c>
      <c r="O56" s="126">
        <v>0</v>
      </c>
      <c r="P56" s="126">
        <f t="shared" si="2"/>
        <v>0</v>
      </c>
      <c r="Q56" s="126">
        <v>0</v>
      </c>
      <c r="R56" s="126">
        <v>0</v>
      </c>
      <c r="S56" s="126">
        <v>0</v>
      </c>
      <c r="T56" s="151">
        <v>0</v>
      </c>
      <c r="U56" s="127">
        <f t="shared" si="3"/>
        <v>0</v>
      </c>
      <c r="V56" s="127">
        <v>300</v>
      </c>
      <c r="W56" s="127"/>
      <c r="X56" s="127">
        <f t="shared" si="4"/>
        <v>300</v>
      </c>
      <c r="Y56" s="132" t="s">
        <v>57</v>
      </c>
    </row>
    <row r="57" ht="45.65" customHeight="1" spans="1:25" x14ac:dyDescent="0.25">
      <c r="A57" s="121">
        <v>52</v>
      </c>
      <c r="B57" s="122" t="s">
        <v>240</v>
      </c>
      <c r="C57" s="155" t="s">
        <v>172</v>
      </c>
      <c r="D57" s="256" t="s">
        <v>346</v>
      </c>
      <c r="E57" s="257"/>
      <c r="F57" s="257"/>
      <c r="G57" s="258"/>
      <c r="H57" s="157">
        <v>0</v>
      </c>
      <c r="I57" s="125">
        <v>26</v>
      </c>
      <c r="J57" s="125">
        <v>0</v>
      </c>
      <c r="K57" s="126">
        <f t="shared" si="0"/>
        <v>0</v>
      </c>
      <c r="L57" s="126">
        <f t="shared" si="1"/>
        <v>0</v>
      </c>
      <c r="M57" s="126">
        <v>0</v>
      </c>
      <c r="N57" s="126">
        <v>0</v>
      </c>
      <c r="O57" s="126">
        <v>0</v>
      </c>
      <c r="P57" s="126">
        <f t="shared" si="2"/>
        <v>0</v>
      </c>
      <c r="Q57" s="126">
        <v>0</v>
      </c>
      <c r="R57" s="126">
        <v>0</v>
      </c>
      <c r="S57" s="126">
        <v>0</v>
      </c>
      <c r="T57" s="151">
        <v>0</v>
      </c>
      <c r="U57" s="127">
        <f t="shared" si="3"/>
        <v>0</v>
      </c>
      <c r="V57" s="127">
        <v>600</v>
      </c>
      <c r="W57" s="127"/>
      <c r="X57" s="127">
        <f t="shared" si="4"/>
        <v>600</v>
      </c>
      <c r="Y57" s="131" t="s">
        <v>57</v>
      </c>
    </row>
    <row r="58" ht="45.65" customHeight="1" spans="1:25" x14ac:dyDescent="0.25">
      <c r="A58" s="121">
        <f t="shared" ref="A58:A60" si="7">A57+1</f>
        <v>53</v>
      </c>
      <c r="B58" s="122"/>
      <c r="C58" s="155"/>
      <c r="D58" s="154"/>
      <c r="E58" s="154"/>
      <c r="F58" s="154"/>
      <c r="G58" s="155"/>
      <c r="H58" s="157"/>
      <c r="I58" s="125">
        <v>26</v>
      </c>
      <c r="J58" s="125">
        <v>0</v>
      </c>
      <c r="K58" s="126">
        <f t="shared" si="0"/>
        <v>0</v>
      </c>
      <c r="L58" s="126">
        <v>0</v>
      </c>
      <c r="M58" s="126">
        <v>0</v>
      </c>
      <c r="N58" s="126">
        <v>0</v>
      </c>
      <c r="O58" s="126">
        <v>0</v>
      </c>
      <c r="P58" s="126">
        <f t="shared" si="2"/>
        <v>0</v>
      </c>
      <c r="Q58" s="126">
        <v>0</v>
      </c>
      <c r="R58" s="126">
        <v>0</v>
      </c>
      <c r="S58" s="126">
        <v>0</v>
      </c>
      <c r="T58" s="151">
        <v>0</v>
      </c>
      <c r="U58" s="127">
        <f t="shared" si="3"/>
        <v>0</v>
      </c>
      <c r="V58" s="127">
        <f t="shared" ref="V58:V60" si="8">U58</f>
        <v>0</v>
      </c>
      <c r="W58" s="127"/>
      <c r="X58" s="127">
        <f t="shared" si="4"/>
        <v>0</v>
      </c>
      <c r="Y58" s="128"/>
    </row>
    <row r="59" ht="45.65" customHeight="1" spans="1:25" x14ac:dyDescent="0.25">
      <c r="A59" s="121">
        <f t="shared" si="7"/>
        <v>54</v>
      </c>
      <c r="B59" s="122"/>
      <c r="C59" s="155"/>
      <c r="D59" s="154"/>
      <c r="E59" s="154"/>
      <c r="F59" s="154"/>
      <c r="G59" s="155"/>
      <c r="H59" s="157"/>
      <c r="I59" s="125">
        <v>26</v>
      </c>
      <c r="J59" s="125">
        <v>0</v>
      </c>
      <c r="K59" s="126">
        <f t="shared" si="0"/>
        <v>0</v>
      </c>
      <c r="L59" s="126">
        <v>0</v>
      </c>
      <c r="M59" s="126">
        <v>0</v>
      </c>
      <c r="N59" s="126">
        <v>0</v>
      </c>
      <c r="O59" s="126">
        <v>0</v>
      </c>
      <c r="P59" s="126">
        <f t="shared" si="2"/>
        <v>0</v>
      </c>
      <c r="Q59" s="126">
        <v>0</v>
      </c>
      <c r="R59" s="126">
        <v>0</v>
      </c>
      <c r="S59" s="126">
        <v>0</v>
      </c>
      <c r="T59" s="151">
        <v>0</v>
      </c>
      <c r="U59" s="127">
        <f t="shared" si="3"/>
        <v>0</v>
      </c>
      <c r="V59" s="127">
        <f t="shared" si="8"/>
        <v>0</v>
      </c>
      <c r="W59" s="127"/>
      <c r="X59" s="127">
        <f t="shared" si="4"/>
        <v>0</v>
      </c>
      <c r="Y59" s="128"/>
    </row>
    <row r="60" ht="45.65" customHeight="1" spans="1:25" x14ac:dyDescent="0.25">
      <c r="A60" s="121">
        <f t="shared" si="7"/>
        <v>55</v>
      </c>
      <c r="B60" s="122"/>
      <c r="C60" s="160"/>
      <c r="D60" s="161"/>
      <c r="E60" s="161"/>
      <c r="F60" s="161"/>
      <c r="G60" s="160"/>
      <c r="H60" s="162"/>
      <c r="I60" s="163">
        <v>26</v>
      </c>
      <c r="J60" s="125">
        <v>0</v>
      </c>
      <c r="K60" s="126">
        <f t="shared" si="0"/>
        <v>0</v>
      </c>
      <c r="L60" s="126">
        <v>0</v>
      </c>
      <c r="M60" s="164">
        <v>0</v>
      </c>
      <c r="N60" s="164">
        <v>0</v>
      </c>
      <c r="O60" s="164">
        <v>0</v>
      </c>
      <c r="P60" s="126">
        <f t="shared" si="2"/>
        <v>0</v>
      </c>
      <c r="Q60" s="164">
        <v>0</v>
      </c>
      <c r="R60" s="126">
        <v>0</v>
      </c>
      <c r="S60" s="164">
        <v>0</v>
      </c>
      <c r="T60" s="259">
        <v>0</v>
      </c>
      <c r="U60" s="127">
        <f t="shared" si="3"/>
        <v>0</v>
      </c>
      <c r="V60" s="127">
        <f t="shared" si="8"/>
        <v>0</v>
      </c>
      <c r="W60" s="127"/>
      <c r="X60" s="127">
        <f t="shared" si="4"/>
        <v>0</v>
      </c>
      <c r="Y60" s="166"/>
    </row>
    <row r="61" ht="50.15" customHeight="1" spans="1:25" x14ac:dyDescent="0.25">
      <c r="A61" s="184" t="s">
        <v>26</v>
      </c>
      <c r="B61" s="185"/>
      <c r="C61" s="185"/>
      <c r="D61" s="185"/>
      <c r="E61" s="185"/>
      <c r="F61" s="185"/>
      <c r="G61" s="185"/>
      <c r="H61" s="146">
        <f>SUBTOTAL(9,H6:H60)</f>
        <v>12381.6</v>
      </c>
      <c r="I61" s="185"/>
      <c r="J61" s="186"/>
      <c r="K61" s="146">
        <f t="shared" ref="K61:X61" si="9">SUBTOTAL(9,K6:K60)</f>
        <v>12381.6</v>
      </c>
      <c r="L61" s="146">
        <f t="shared" si="9"/>
        <v>0</v>
      </c>
      <c r="M61" s="146">
        <f t="shared" si="9"/>
        <v>71.53999999999999</v>
      </c>
      <c r="N61" s="146">
        <f t="shared" si="9"/>
        <v>0</v>
      </c>
      <c r="O61" s="146">
        <f t="shared" si="9"/>
        <v>300</v>
      </c>
      <c r="P61" s="146">
        <f t="shared" si="9"/>
        <v>12753.140000000001</v>
      </c>
      <c r="Q61" s="146">
        <f t="shared" si="9"/>
        <v>0</v>
      </c>
      <c r="R61" s="146">
        <f t="shared" si="9"/>
        <v>184.62</v>
      </c>
      <c r="S61" s="146">
        <f t="shared" si="9"/>
        <v>150</v>
      </c>
      <c r="T61" s="146">
        <f t="shared" si="9"/>
        <v>0</v>
      </c>
      <c r="U61" s="147">
        <f t="shared" si="9"/>
        <v>12418.52</v>
      </c>
      <c r="V61" s="147">
        <f t="shared" si="9"/>
        <v>14084.52</v>
      </c>
      <c r="W61" s="147">
        <f t="shared" si="9"/>
        <v>340</v>
      </c>
      <c r="X61" s="147">
        <f t="shared" si="9"/>
        <v>2006</v>
      </c>
      <c r="Y61" s="146"/>
    </row>
    <row r="63" ht="20.6" customHeight="1" spans="3:22" s="245" customFormat="1" x14ac:dyDescent="0.25">
      <c r="C63" s="245" t="s">
        <v>311</v>
      </c>
      <c r="K63" s="245" t="s">
        <v>312</v>
      </c>
      <c r="V63" s="245" t="s">
        <v>313</v>
      </c>
    </row>
    <row r="65" spans="16:19" x14ac:dyDescent="0.25">
      <c r="P65" s="148"/>
      <c r="S65" s="148"/>
    </row>
    <row r="66" spans="22:22" x14ac:dyDescent="0.25">
      <c r="V66" s="148"/>
    </row>
  </sheetData>
  <autoFilter ref="A5:Y60"/>
  <mergeCells count="21">
    <mergeCell ref="A1:Y1"/>
    <mergeCell ref="A2:Y2"/>
    <mergeCell ref="A3:Y3"/>
    <mergeCell ref="K4:P4"/>
    <mergeCell ref="Q4:T4"/>
    <mergeCell ref="V4:W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U4:U5"/>
    <mergeCell ref="X4:X5"/>
    <mergeCell ref="Y4:Y5"/>
    <mergeCell ref="D56:G56"/>
    <mergeCell ref="D57:G57"/>
  </mergeCells>
  <conditionalFormatting sqref="C6:C60"/>
  <printOptions horizontalCentered="1"/>
  <pageMargins left="0.25" right="0.25" top="0.75" bottom="0.75" header="0.3" footer="0.3"/>
  <pageSetup paperSize="9" orientation="landscape" horizontalDpi="4294967295" verticalDpi="4294967295" scale="32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العمليات</vt:lpstr>
      <vt:lpstr>DYLX</vt:lpstr>
      <vt:lpstr>BEC(1)</vt:lpstr>
      <vt:lpstr>BEC(2)</vt:lpstr>
      <vt:lpstr>BEC(3)</vt:lpstr>
      <vt:lpstr>BEC(4)</vt:lpstr>
      <vt:lpstr>BEC5</vt:lpstr>
      <vt:lpstr>BEC (6)</vt:lpstr>
      <vt:lpstr>BEC (7)</vt:lpstr>
      <vt:lpstr>BEC (1)</vt:lpstr>
      <vt:lpstr>BEC (1-2026)</vt:lpstr>
      <vt:lpstr>BEC (1-2025) (3)</vt:lpstr>
      <vt:lpstr>BEC (1-2025) (2)</vt:lpstr>
      <vt:lpstr>BEC (jan)</vt:lpstr>
      <vt:lpstr>BEC (9)</vt:lpstr>
      <vt:lpstr>Admin 1 (2)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